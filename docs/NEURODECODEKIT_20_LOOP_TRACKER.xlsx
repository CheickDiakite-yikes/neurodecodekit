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ed719c723249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1a546e02fc64072"/>
    <x:sheet xmlns:r="http://schemas.openxmlformats.org/officeDocument/2006/relationships" name="Loop Tracker" sheetId="2" r:id="R5113ae3026174d88"/>
    <x:sheet xmlns:r="http://schemas.openxmlformats.org/officeDocument/2006/relationships" name="Decision Log" sheetId="3" r:id="Rf45a7e9ed09e4e14"/>
    <x:sheet xmlns:r="http://schemas.openxmlformats.org/officeDocument/2006/relationships" name="Risk Register" sheetId="4" r:id="R83068b30977b4544"/>
    <x:sheet xmlns:r="http://schemas.openxmlformats.org/officeDocument/2006/relationships" name="Experiment Template" sheetId="5" r:id="R998ebf0e1436479f"/>
    <x:sheet xmlns:r="http://schemas.openxmlformats.org/officeDocument/2006/relationships" name="Prompt Bank" sheetId="6" r:id="Ra65cf24e2c5c4691"/>
    <x:sheet xmlns:r="http://schemas.openxmlformats.org/officeDocument/2006/relationships" name="Lists" sheetId="7" r:id="Ra0adf47a998548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yyyy-mm-dd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</x:fills>
  <x:borders count="2">
    <x:border/>
    <x:border/>
  </x:borders>
  <x:cellStyleXfs count="1">
    <x:xf numFmtId="0" fontId="0" fillId="0" borderId="0"/>
  </x:cellStyleXfs>
  <x:cellXfs count="3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413892af4149b2" /><Relationship Type="http://schemas.openxmlformats.org/officeDocument/2006/relationships/theme" Target="/xl/theme/theme1.xml" Id="Rbfef4445bdef47ba" /><Relationship Type="http://schemas.openxmlformats.org/officeDocument/2006/relationships/sharedStrings" Target="/xl/sharedStrings.xml" Id="Rb23bfa9ec94b47bd" /><Relationship Type="http://schemas.openxmlformats.org/officeDocument/2006/relationships/worksheet" Target="/xl/worksheets/sheet1.xml" Id="Rf1a546e02fc64072" /><Relationship Type="http://schemas.openxmlformats.org/officeDocument/2006/relationships/worksheet" Target="/xl/worksheets/sheet2.xml" Id="R5113ae3026174d88" /><Relationship Type="http://schemas.openxmlformats.org/officeDocument/2006/relationships/worksheet" Target="/xl/worksheets/sheet3.xml" Id="Rf45a7e9ed09e4e14" /><Relationship Type="http://schemas.openxmlformats.org/officeDocument/2006/relationships/worksheet" Target="/xl/worksheets/sheet4.xml" Id="R83068b30977b4544" /><Relationship Type="http://schemas.openxmlformats.org/officeDocument/2006/relationships/worksheet" Target="/xl/worksheets/sheet5.xml" Id="R998ebf0e1436479f" /><Relationship Type="http://schemas.openxmlformats.org/officeDocument/2006/relationships/worksheet" Target="/xl/worksheets/sheet6.xml" Id="Ra65cf24e2c5c4691" /><Relationship Type="http://schemas.openxmlformats.org/officeDocument/2006/relationships/worksheet" Target="/xl/worksheets/sheet7.xml" Id="Ra0adf47a9985482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ddc1dcb445d44b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Loops by Phase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ddc1dcb445d44b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2" name="DecisionLogTable" displayName="DecisionLogTable" ref="A1:I6" headerRowCount="1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RiskRegisterTable" displayName="RiskRegisterTable" ref="A1:I9" headerRowCount="1"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RowStripes="1"/>
</x:table>
</file>

<file path=xl/tables/table4.xml><?xml version="1.0" encoding="utf-8"?>
<x:table xmlns:x="http://schemas.openxmlformats.org/spreadsheetml/2006/main" id="4" name="PromptBankTable" displayName="PromptBankTable" ref="A1:C21" headerRowCount="1">
  <x:tableColumns count="3">
    <x:tableColumn id="1" name="Loop ID"/>
    <x:tableColumn id="2" name="Loop Name"/>
    <x:tableColumn id="3" name="Prompt Se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4d34abe412a47d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c3167448a87428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1042f85c7c2489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4e6237d915f467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a0cf8adf0114456b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NeuroDecodeKit: Post-PR1 20-Loop Tracker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the loop tiny, honest, measured, and repeatable before adding model complexity.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Total loops</x:v>
      </x:c>
      <x:c r="B5" s="36" t="n">
        <x:f>COUNTA('Loop Tracker'!$A$2:$A$21)</x:f>
        <x:v>20</x:v>
      </x:c>
      <x:c r="F5" s="29" t="str">
        <x:v>1) Work top-down unless a blocker forces a spike.
2) Keep each loop small enough for one PR or one experiment note.
3) Every loop needs an acceptance gate, not vibes.
4) Add complexity only after a simpler baseline fails.
5) Never silently download huge neurodata.
6) Record kill/iterate/proceed decisions in the Decision Log.</x:v>
      </x:c>
      <x:c r="G5" s="29" t="str"/>
      <x:c r="H5" s="29" t="str"/>
    </x:row>
    <x:row r="6">
      <x:c r="A6" s="36" t="str">
        <x:v>Done</x:v>
      </x:c>
      <x:c r="B6" s="36" t="n">
        <x:v>2</x:v>
      </x:c>
      <x:c r="F6" s="29" t="str"/>
      <x:c r="G6" s="29" t="str"/>
      <x:c r="H6" s="29" t="str"/>
    </x:row>
    <x:row r="7">
      <x:c r="A7" s="36" t="str">
        <x:v>Active</x:v>
      </x:c>
      <x:c r="B7" s="36" t="n">
        <x:f>COUNTIF('Loop Tracker'!$K$2:$K$21,"In Progress")+COUNTIF('Loop Tracker'!$K$2:$K$21,"Review")</x:f>
        <x:v>0</x:v>
      </x:c>
      <x:c r="F7" s="29" t="str"/>
      <x:c r="G7" s="29" t="str"/>
      <x:c r="H7" s="29" t="str"/>
    </x:row>
    <x:row r="8">
      <x:c r="A8" s="36" t="str">
        <x:v>Blocked</x:v>
      </x:c>
      <x:c r="B8" s="36" t="n">
        <x:f>COUNTIF('Loop Tracker'!$K$2:$K$21,"Blocked")</x:f>
        <x:v>0</x:v>
      </x:c>
      <x:c r="F8" s="29" t="str"/>
      <x:c r="G8" s="29" t="str"/>
      <x:c r="H8" s="29" t="str"/>
    </x:row>
    <x:row r="9">
      <x:c r="A9" s="36" t="str">
        <x:v>Average progress</x:v>
      </x:c>
      <x:c r="B9" s="34" t="n">
        <x:v>10</x:v>
      </x:c>
      <x:c r="F9" s="29" t="str"/>
      <x:c r="G9" s="29" t="str"/>
      <x:c r="H9" s="29" t="str"/>
    </x:row>
    <x:row r="10">
      <x:c r="A10" s="36" t="str">
        <x:v>Next operating rule</x:v>
      </x:c>
      <x:c r="B10" s="36" t="str">
        <x:v>Only start a new loop when the previous loop has a cache/report/demo or an explicit kill decision.</x:v>
      </x:c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Phase</x:v>
      </x:c>
      <x:c r="B12" s="6" t="str">
        <x:v>Loops</x:v>
      </x:c>
      <x:c r="C12" s="6" t="str">
        <x:v>Done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v>2</x:v>
      </x:c>
      <x:c r="D13" s="34" t="n">
        <x:v>0.4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0</x:v>
      </x:c>
      <x:c r="D14" s="34" t="n">
        <x:f>IF(B14=0,0,C14/B14)</x:f>
        <x:v>0</x:v>
      </x:c>
    </x:row>
    <x:row r="15">
      <x:c r="A15" t="str">
        <x:v>Compression</x:v>
      </x:c>
      <x:c r="B15" t="n">
        <x:f>COUNTIF('Loop Tracker'!$B$2:$B$21,A15)</x:f>
        <x:v>4</x:v>
      </x:c>
      <x:c r="C15" t="n">
        <x:f>COUNTIFS('Loop Tracker'!$B$2:$B$21,A15,'Loop Tracker'!$K$2:$K$21,"Done")</x:f>
        <x:v>0</x:v>
      </x:c>
      <x:c r="D15" s="34" t="n">
        <x:f>IF(B15=0,0,C15/B15)</x:f>
        <x:v>0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f>COUNTIFS('Loop Tracker'!$B$2:$B$21,A16,'Loop Tracker'!$K$2:$K$21,"Done")</x:f>
        <x:v>0</x:v>
      </x:c>
      <x:c r="D16" s="34" t="n">
        <x:f>IF(B16=0,0,C16/B16)</x:f>
        <x:v>0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f>COUNTIFS('Loop Tracker'!$B$2:$B$21,A17,'Loop Tracker'!$K$2:$K$21,"Done")</x:f>
        <x:v>0</x:v>
      </x:c>
      <x:c r="D17" s="34" t="n">
        <x:f>IF(B17=0,0,C17/B17)</x:f>
        <x:v>0</x:v>
      </x:c>
    </x:row>
    <x:row r="18">
      <x:c r="A18" t="str">
        <x:v>Expansion</x:v>
      </x:c>
      <x:c r="B18" t="n">
        <x:f>COUNTIF('Loop Tracker'!$B$2:$B$21,A18)</x:f>
        <x:v>2</x:v>
      </x:c>
      <x:c r="C18" t="n">
        <x:f>COUNTIFS('Loop Tracker'!$B$2:$B$21,A18,'Loop Tracker'!$K$2:$K$21,"Done")</x:f>
        <x:v>0</x:v>
      </x:c>
      <x:c r="D18" s="34" t="n">
        <x:f>IF(B18=0,0,C18/B18)</x:f>
        <x:v>0</x:v>
      </x:c>
    </x:row>
  </x:sheetData>
  <x:mergeCells>
    <x:mergeCell ref="A1:H1"/>
    <x:mergeCell ref="A2:H2"/>
    <x:mergeCell ref="F4:H4"/>
    <x:mergeCell ref="F5:H13"/>
  </x:mergeCells>
  <x:pageMargins left="0.7" right="0.7" top="0.75" bottom="0.75" header="0.3" footer="0.3"/>
  <x:drawing xmlns:r="http://schemas.openxmlformats.org/officeDocument/2006/relationships" r:id="R44d34abe412a47dc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v>100</x:v>
      </x:c>
      <x:c r="T2" s="14" t="str">
        <x:v>Done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v>100</x:v>
      </x:c>
      <x:c r="T3" s="14" t="str">
        <x:v>Done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Not Started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/>
      <x:c r="S4" s="16" t="n">
        <x:f>IF(K4="Done",1,IF(K4="Review",0.8,IF(K4="In Progress",0.5,IF(K4="Blocked",0.2,IF(K4="Parked",0.1,0)))))</x:f>
        <x:v>0</x:v>
      </x:c>
      <x:c r="T4" s="14" t="str">
        <x:v>Next candidate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Not Started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/>
      <x:c r="S5" s="16" t="n">
        <x:f>IF(K5="Done",1,IF(K5="Review",0.8,IF(K5="In Progress",0.5,IF(K5="Blocked",0.2,IF(K5="Parked",0.1,0)))))</x:f>
        <x:v>0</x:v>
      </x:c>
      <x:c r="T5" s="14" t="str">
        <x:f>IF(K5="Blocked","Fix blocker",IF(K5="Review","Review/merge",IF(AND(L5="P0",K5="Not Started"),"Next candidate",IF(K5="Done","Closed","Normal"))))</x:f>
        <x:v>Next candidate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Not Started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0</x:v>
      </x:c>
      <x:c r="T6" s="14" t="str">
        <x:f>IF(K6="Blocked","Fix blocker",IF(K6="Review","Review/merge",IF(AND(L6="P0",K6="Not Started"),"Next candidate",IF(K6="Done","Closed","Normal"))))</x:f>
        <x:v>Next candidate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Not Started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/>
      <x:c r="S7" s="16" t="n">
        <x:f>IF(K7="Done",1,IF(K7="Review",0.8,IF(K7="In Progress",0.5,IF(K7="Blocked",0.2,IF(K7="Parked",0.1,0)))))</x:f>
        <x:v>0</x:v>
      </x:c>
      <x:c r="T7" s="14" t="str">
        <x:f>IF(K7="Blocked","Fix blocker",IF(K7="Review","Review/merge",IF(AND(L7="P0",K7="Not Started"),"Next candidate",IF(K7="Done","Closed","Normal"))))</x:f>
        <x:v>Next candidate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Not Started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/>
      <x:c r="S8" s="16" t="n">
        <x:f>IF(K8="Done",1,IF(K8="Review",0.8,IF(K8="In Progress",0.5,IF(K8="Blocked",0.2,IF(K8="Parked",0.1,0)))))</x:f>
        <x:v>0</x:v>
      </x:c>
      <x:c r="T8" s="14" t="str">
        <x:f>IF(K8="Blocked","Fix blocker",IF(K8="Review","Review/merge",IF(AND(L8="P0",K8="Not Started"),"Next candidate",IF(K8="Done","Closed","Normal"))))</x:f>
        <x:v>Normal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Not Started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/>
      <x:c r="S9" s="16" t="n">
        <x:f>IF(K9="Done",1,IF(K9="Review",0.8,IF(K9="In Progress",0.5,IF(K9="Blocked",0.2,IF(K9="Parked",0.1,0)))))</x:f>
        <x:v>0</x:v>
      </x:c>
      <x:c r="T9" s="14" t="str">
        <x:f>IF(K9="Blocked","Fix blocker",IF(K9="Review","Review/merge",IF(AND(L9="P0",K9="Not Started"),"Next candidate",IF(K9="Done","Closed","Normal"))))</x:f>
        <x:v>Normal</x:v>
      </x:c>
    </x:row>
    <x:row r="10" ht="6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we move from event labels toward sequence decoding without overbuilding?</x:v>
      </x:c>
      <x:c r="E10" s="14" t="str">
        <x:v>Add minimal CTC data interface and model scaffold; train on synthetic sequence data first.</x:v>
      </x:c>
      <x:c r="F10" s="14" t="str">
        <x:v>CTC feasibility note: what labels/timing are needed.</x:v>
      </x:c>
      <x:c r="G10" s="14" t="str">
        <x:v>Synthetic sequence cache; later real event-aligned cache.</x:v>
      </x:c>
      <x:c r="H10" s="14" t="str">
        <x:v>Tiny Conv/Transformer + CTC head scaffold.</x:v>
      </x:c>
      <x:c r="I10" s="14" t="str">
        <x:v>CER; blank-rate; alignment diagnostics.</x:v>
      </x:c>
      <x:c r="J10" s="14" t="str">
        <x:v>Synthetic CTC loop works; real-data assumptions are explicit.</x:v>
      </x:c>
      <x:c r="K10" s="14" t="str">
        <x:v>Not Started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</x:v>
      </x:c>
      <x:c r="P10" s="14" t="str">
        <x:v>Medium</x:v>
      </x:c>
      <x:c r="Q10" s="14" t="str">
        <x:v>Create a minimal CTC scaffold that proves the interface, not SOTA accuracy.</x:v>
      </x:c>
      <x:c r="R10" s="14" t="str"/>
      <x:c r="S10" s="16" t="n">
        <x:f>IF(K10="Done",1,IF(K10="Review",0.8,IF(K10="In Progress",0.5,IF(K10="Blocked",0.2,IF(K10="Parked",0.1,0)))))</x:f>
        <x:v>0</x:v>
      </x:c>
      <x:c r="T10" s="14" t="str">
        <x:f>IF(K10="Blocked","Fix blocker",IF(K10="Review","Review/merge",IF(AND(L10="P0",K10="Not Started"),"Next candidate",IF(K10="Done","Closed","Normal"))))</x:f>
        <x:v>Normal</x:v>
      </x:c>
    </x:row>
    <x:row r="11" ht="68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Compression curve: accuracy retained per sampling rate and GB.</x:v>
      </x:c>
      <x:c r="G11" s="14" t="str">
        <x:v>Synthetic + one real block when possible.</x:v>
      </x:c>
      <x:c r="H11" s="14" t="str">
        <x:v>Resample cache generation + baseline eval.</x:v>
      </x:c>
      <x:c r="I11" s="14" t="str">
        <x:v>accuracy retained per GB; extraction time.</x:v>
      </x:c>
      <x:c r="J11" s="14" t="str">
        <x:v>One report table compares at least 3 sampling rates.</x:v>
      </x:c>
      <x:c r="K11" s="14" t="str">
        <x:v>Not Started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Loops 4,7</x:v>
      </x:c>
      <x:c r="P11" s="14" t="str">
        <x:v>Medium</x:v>
      </x:c>
      <x:c r="Q11" s="14" t="str">
        <x:v>Run a simple sampling-rate sweep and report accuracy/size/time tradeoffs.</x:v>
      </x:c>
      <x:c r="R11" s="14" t="str"/>
      <x:c r="S11" s="16" t="n">
        <x:f>IF(K11="Done",1,IF(K11="Review",0.8,IF(K11="In Progress",0.5,IF(K11="Blocked",0.2,IF(K11="Parked",0.1,0)))))</x:f>
        <x:v>0</x:v>
      </x:c>
      <x:c r="T11" s="14" t="str">
        <x:f>IF(K11="Blocked","Fix blocker",IF(K11="Review","Review/merge",IF(AND(L11="P0",K11="Not Started"),"Next candidate",IF(K11="Done","Closed","Normal"))))</x:f>
        <x:v>Normal</x:v>
      </x:c>
    </x:row>
    <x:row r="12" ht="68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How many channels are actually needed for useful signal in the tiny loop?</x:v>
      </x:c>
      <x:c r="E12" s="14" t="str">
        <x:v>Add channel-picking strategy: all, motor-ish if known, random-k, top-variance.</x:v>
      </x:c>
      <x:c r="F12" s="14" t="str">
        <x:v>Channel ablation report with caveats.</x:v>
      </x:c>
      <x:c r="G12" s="14" t="str">
        <x:v>Tiny cache with channel metadata.</x:v>
      </x:c>
      <x:c r="H12" s="14" t="str">
        <x:v>Feature/channel subset + baseline eval.</x:v>
      </x:c>
      <x:c r="I12" s="14" t="str">
        <x:v>accuracy retained per channel count; size reduction.</x:v>
      </x:c>
      <x:c r="J12" s="14" t="str">
        <x:v>At least 3 channel settings are comparable from the same split.</x:v>
      </x:c>
      <x:c r="K12" s="14" t="str">
        <x:v>Not Started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</x:v>
      </x:c>
      <x:c r="P12" s="14" t="str">
        <x:v>Medium</x:v>
      </x:c>
      <x:c r="Q12" s="14" t="str">
        <x:v>Implement channel subset sweeps using explicit strategies and honest caveats.</x:v>
      </x:c>
      <x:c r="R12" s="14" t="str"/>
      <x:c r="S12" s="16" t="n">
        <x:f>IF(K12="Done",1,IF(K12="Review",0.8,IF(K12="In Progress",0.5,IF(K12="Blocked",0.2,IF(K12="Parked",0.1,0)))))</x:f>
        <x:v>0</x:v>
      </x:c>
      <x:c r="T12" s="14" t="str">
        <x:f>IF(K12="Blocked","Fix blocker",IF(K12="Review","Review/merge",IF(AND(L12="P0",K12="Not Started"),"Next candidate",IF(K12="Done","Closed","Normal"))))</x:f>
        <x:v>Normal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shrink caches by changing representation before losing too much signal?</x:v>
      </x:c>
      <x:c r="E13" s="14" t="str">
        <x:v>Add cache writer variants: float32, float16, optional int8 quantized, compressed NPZ.</x:v>
      </x:c>
      <x:c r="F13" s="14" t="str">
        <x:v>Storage report: MB, load time, metric deltas.</x:v>
      </x:c>
      <x:c r="G13" s="14" t="str">
        <x:v>B2Q-mini cache.</x:v>
      </x:c>
      <x:c r="H13" s="14" t="str">
        <x:v>Precision and serialization variants.</x:v>
      </x:c>
      <x:c r="I13" s="14" t="str">
        <x:v>MB per minute/event; accuracy delta; load time.</x:v>
      </x:c>
      <x:c r="J13" s="14" t="str">
        <x:v>Report shows at least 3 storage variants with reproducible commands.</x:v>
      </x:c>
      <x:c r="K13" s="14" t="str">
        <x:v>Not Started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10</x:v>
      </x:c>
      <x:c r="P13" s="14" t="str">
        <x:v>Low</x:v>
      </x:c>
      <x:c r="Q13" s="14" t="str">
        <x:v>Compare cache precision/storage formats and produce a size-versus-score report.</x:v>
      </x:c>
      <x:c r="R13" s="14" t="str"/>
      <x:c r="S13" s="16" t="n">
        <x:f>IF(K13="Done",1,IF(K13="Review",0.8,IF(K13="In Progress",0.5,IF(K13="Blocked",0.2,IF(K13="Parked",0.1,0)))))</x:f>
        <x:v>0</x:v>
      </x:c>
      <x:c r="T13" s="14" t="str">
        <x:f>IF(K13="Blocked","Fix blocker",IF(K13="Review","Review/merge",IF(AND(L13="P0",K13="Not Started"),"Next candidate",IF(K13="Done","Closed","Normal"))))</x:f>
        <x:v>Normal</x:v>
      </x:c>
    </x:row>
    <x:row r="14" ht="68" customHeight="1">
      <x:c r="A14" s="14" t="n">
        <x:v>13</x:v>
      </x:c>
      <x:c r="B14" s="14" t="str">
        <x:v>Compression</x:v>
      </x:c>
      <x:c r="C14" s="14" t="str">
        <x:v>Zarr / Lazy Cache Backend</x:v>
      </x:c>
      <x:c r="D14" s="14" t="str">
        <x:v>When NPZ becomes awkward, can we stream chunks without rewriting the whole system?</x:v>
      </x:c>
      <x:c r="E14" s="14" t="str">
        <x:v>Add optional Zarr backend behind same cache interface.</x:v>
      </x:c>
      <x:c r="F14" s="14" t="str">
        <x:v>Backend comparison note: NPZ vs Zarr for tiny/medium data.</x:v>
      </x:c>
      <x:c r="G14" s="14" t="str">
        <x:v>Synthetic + tiny cache.</x:v>
      </x:c>
      <x:c r="H14" s="14" t="str">
        <x:v>Chunked array storage; lazy loading.</x:v>
      </x:c>
      <x:c r="I14" s="14" t="str">
        <x:v>load time; random access time; file count; cache size.</x:v>
      </x:c>
      <x:c r="J14" s="14" t="str">
        <x:v>Zarr is optional; NPZ remains default; same training interface works.</x:v>
      </x:c>
      <x:c r="K14" s="14" t="str">
        <x:v>Not Started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Add Zarr as an optional backend only after NPZ is stable; do not break the simple path.</x:v>
      </x:c>
      <x:c r="R14" s="14" t="str"/>
      <x:c r="S14" s="16" t="n">
        <x:f>IF(K14="Done",1,IF(K14="Review",0.8,IF(K14="In Progress",0.5,IF(K14="Blocked",0.2,IF(K14="Parked",0.1,0)))))</x:f>
        <x:v>0</x:v>
      </x:c>
      <x:c r="T14" s="14" t="str">
        <x:f>IF(K14="Blocked","Fix blocker",IF(K14="Review","Review/merge",IF(AND(L14="P0",K14="Not Started"),"Next candidate",IF(K14="Done","Closed","Normal"))))</x:f>
        <x:v>Normal</x:v>
      </x:c>
    </x:row>
    <x:row r="15" ht="68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we accidentally evaluating on data that is too similar to training?</x:v>
      </x:c>
      <x:c r="E15" s="14" t="str">
        <x:v>Add explicit split types: event, sentence, session, subject where metadata permits.</x:v>
      </x:c>
      <x:c r="F15" s="14" t="str">
        <x:v>Evaluation protocol note and leakage checklist.</x:v>
      </x:c>
      <x:c r="G15" s="14" t="str">
        <x:v>Tiny cache + manifest metadata.</x:v>
      </x:c>
      <x:c r="H15" s="14" t="str">
        <x:v>Deterministic splits and seed tracking.</x:v>
      </x:c>
      <x:c r="I15" s="14" t="str">
        <x:v>gap between random/event/session splits.</x:v>
      </x:c>
      <x:c r="J15" s="14" t="str">
        <x:v>Every report names the split type; leakage risks are visible.</x:v>
      </x:c>
      <x:c r="K15" s="14" t="str">
        <x:v>Not Started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4-7</x:v>
      </x:c>
      <x:c r="P15" s="14" t="str">
        <x:v>Low</x:v>
      </x:c>
      <x:c r="Q15" s="14" t="str">
        <x:v>Make split type explicit and impossible to ignore in every training/eval report.</x:v>
      </x:c>
      <x:c r="R15" s="14" t="str"/>
      <x:c r="S15" s="16" t="n">
        <x:f>IF(K15="Done",1,IF(K15="Review",0.8,IF(K15="In Progress",0.5,IF(K15="Blocked",0.2,IF(K15="Parked",0.1,0)))))</x:f>
        <x:v>0</x:v>
      </x:c>
      <x:c r="T15" s="14" t="str">
        <x:f>IF(K15="Blocked","Fix blocker",IF(K15="Review","Review/merge",IF(AND(L15="P0",K15="Not Started"),"Next candidate",IF(K15="Done","Closed","Normal"))))</x:f>
        <x:v>Next candidate</x:v>
      </x:c>
    </x:row>
    <x:row r="16" ht="68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Add per-channel normalization, session normalization, and simple adapter hooks.</x:v>
      </x:c>
      <x:c r="F16" s="14" t="str">
        <x:v>Adaptation note: what changed, what stayed fixed, how many examples used.</x:v>
      </x:c>
      <x:c r="G16" s="14" t="str">
        <x:v>Two sessions/subjects if available; otherwise synthetic domain shift.</x:v>
      </x:c>
      <x:c r="H16" s="14" t="str">
        <x:v>Normalization + small adapter baseline.</x:v>
      </x:c>
      <x:c r="I16" s="14" t="str">
        <x:v>metric delta vs calibration examples.</x:v>
      </x:c>
      <x:c r="J16" s="14" t="str">
        <x:v>Synthetic domain-shift adapter works; real-data path is documented.</x:v>
      </x:c>
      <x:c r="K16" s="14" t="str">
        <x:v>Not Started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Implement the lightest adapter experiment possible: normalization first, learned adapter second.</x:v>
      </x:c>
      <x:c r="R16" s="14" t="str"/>
      <x:c r="S16" s="16" t="n">
        <x:f>IF(K16="Done",1,IF(K16="Review",0.8,IF(K16="In Progress",0.5,IF(K16="Blocked",0.2,IF(K16="Parked",0.1,0)))))</x:f>
        <x:v>0</x:v>
      </x:c>
      <x:c r="T16" s="14" t="str">
        <x:f>IF(K16="Blocked","Fix blocker",IF(K16="Review","Review/merge",IF(AND(L16="P0",K16="Not Started"),"Next candidate",IF(K16="Done","Closed","Normal"))))</x:f>
        <x:v>Normal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Add experiment runner varying calibration set size.</x:v>
      </x:c>
      <x:c r="F17" s="14" t="str">
        <x:v>Calibration curve report.</x:v>
      </x:c>
      <x:c r="G17" s="14" t="str">
        <x:v>At least one subject/session; synthetic fallback.</x:v>
      </x:c>
      <x:c r="H17" s="14" t="str">
        <x:v>Train/adapt with k examples and evaluate held-out.</x:v>
      </x:c>
      <x:c r="I17" s="14" t="str">
        <x:v>CER/WER or accuracy vs examples/minutes.</x:v>
      </x:c>
      <x:c r="J17" s="14" t="str">
        <x:v>Report includes 5+ calibration points or explains why not.</x:v>
      </x:c>
      <x:c r="K17" s="14" t="str">
        <x:v>Not Started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Create a calibration curve runner that works on synthetic data and plugs into real caches.</x:v>
      </x:c>
      <x:c r="R17" s="14" t="str"/>
      <x:c r="S17" s="16" t="n">
        <x:f>IF(K17="Done",1,IF(K17="Review",0.8,IF(K17="In Progress",0.5,IF(K17="Blocked",0.2,IF(K17="Parked",0.1,0)))))</x:f>
        <x:v>0</x:v>
      </x:c>
      <x:c r="T17" s="14" t="str">
        <x:f>IF(K17="Blocked","Fix blocker",IF(K17="Review","Review/merge",IF(AND(L17="P0",K17="Not Started"),"Next candidate",IF(K17="Done","Closed","Normal"))))</x:f>
        <x:v>Normal</x:v>
      </x:c>
    </x:row>
    <x:row r="18" ht="68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Synthetic or tiny cache.</x:v>
      </x:c>
      <x:c r="H18" s="14" t="str">
        <x:v>Interactive visualization.</x:v>
      </x:c>
      <x:c r="I18" s="14" t="str">
        <x:v>time to first demo; explanation clarity.</x:v>
      </x:c>
      <x:c r="J18" s="14" t="str">
        <x:v>Demo runs locally from one command and shows at least one example end-to-end.</x:v>
      </x:c>
      <x:c r="K18" s="14" t="str">
        <x:v>Not Started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Make a small honest demo: no hype, just signal, prediction, errors, and uncertainty.</x:v>
      </x:c>
      <x:c r="R18" s="14" t="str"/>
      <x:c r="S18" s="16" t="n">
        <x:f>IF(K18="Done",1,IF(K18="Review",0.8,IF(K18="In Progress",0.5,IF(K18="Blocked",0.2,IF(K18="Parked",0.1,0)))))</x:f>
        <x:v>0</x:v>
      </x:c>
      <x:c r="T18" s="14" t="str">
        <x:f>IF(K18="Blocked","Fix blocker",IF(K18="Review","Review/merge",IF(AND(L18="P0",K18="Not Started"),"Next candidate",IF(K18="Done","Closed","Normal"))))</x:f>
        <x:v>Normal</x:v>
      </x:c>
    </x:row>
    <x:row r="19" ht="68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Not Started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/>
      <x:c r="S19" s="16" t="n">
        <x:f>IF(K19="Done",1,IF(K19="Review",0.8,IF(K19="In Progress",0.5,IF(K19="Blocked",0.2,IF(K19="Parked",0.1,0)))))</x:f>
        <x:v>0</x:v>
      </x:c>
      <x:c r="T19" s="14" t="str">
        <x:f>IF(K19="Blocked","Fix blocker",IF(K19="Review","Review/merge",IF(AND(L19="P0",K19="Not Started"),"Next candidate",IF(K19="Done","Closed","Normal"))))</x:f>
        <x:v>Normal</x:v>
      </x:c>
    </x:row>
    <x:row r="20" ht="68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Not Started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/>
      <x:c r="S20" s="16" t="n">
        <x:f>IF(K20="Done",1,IF(K20="Review",0.8,IF(K20="In Progress",0.5,IF(K20="Blocked",0.2,IF(K20="Parked",0.1,0)))))</x:f>
        <x:v>0</x:v>
      </x:c>
      <x:c r="T20" s="14" t="str">
        <x:f>IF(K20="Blocked","Fix blocker",IF(K20="Review","Review/merge",IF(AND(L20="P0",K20="Not Started"),"Next candidate",IF(K20="Done","Closed","Normal"))))</x:f>
        <x:v>Normal</x:v>
      </x:c>
    </x:row>
    <x:row r="21" ht="68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Not Started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Design the neurotoken interface as a small abstraction, not a grand architecture rewrite.</x:v>
      </x:c>
      <x:c r="R21" s="14" t="str"/>
      <x:c r="S21" s="16" t="n">
        <x:f>IF(K21="Done",1,IF(K21="Review",0.8,IF(K21="In Progress",0.5,IF(K21="Blocked",0.2,IF(K21="Parked",0.1,0)))))</x:f>
        <x:v>0</x:v>
      </x:c>
      <x:c r="T21" s="14" t="str">
        <x:f>IF(K21="Blocked","Fix blocker",IF(K21="Review","Review/merge",IF(AND(L21="P0",K21="Not Started"),"Next candidate",IF(K21="Done","Closed","Normal"))))</x:f>
        <x:v>Normal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3167448a87428f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 t="str"/>
    </x:row>
    <x:row r="3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 t="str"/>
    </x:row>
    <x:row r="4">
      <x:c r="A4" s="37" t="str"/>
      <x:c r="B4" s="12" t="str"/>
      <x:c r="C4" s="12" t="str"/>
      <x:c r="D4" s="12" t="str"/>
      <x:c r="E4" s="12" t="str"/>
      <x:c r="F4" s="12" t="str"/>
      <x:c r="G4" s="12" t="str"/>
      <x:c r="H4" s="12" t="str"/>
      <x:c r="I4" s="12" t="str"/>
    </x:row>
    <x:row r="5">
      <x:c r="A5" s="37" t="str"/>
      <x:c r="B5" s="12" t="str"/>
      <x:c r="C5" s="12" t="str"/>
      <x:c r="D5" s="12" t="str"/>
      <x:c r="E5" s="12" t="str"/>
      <x:c r="F5" s="12" t="str"/>
      <x:c r="G5" s="12" t="str"/>
      <x:c r="H5" s="12" t="str"/>
      <x:c r="I5" s="12" t="str"/>
    </x:row>
    <x:row r="6">
      <x:c r="A6" s="37" t="str"/>
      <x:c r="B6" s="12" t="str"/>
      <x:c r="C6" s="12" t="str"/>
      <x:c r="D6" s="12" t="str"/>
      <x:c r="E6" s="12" t="str"/>
      <x:c r="F6" s="12" t="str"/>
      <x:c r="G6" s="12" t="str"/>
      <x:c r="H6" s="12" t="str"/>
      <x:c r="I6" s="12" t="str"/>
    </x:row>
    <x:row r="7">
      <x:c r="A7" s="37"/>
      <x:c r="B7" s="12"/>
      <x:c r="C7" s="12"/>
      <x:c r="D7" s="12"/>
      <x:c r="E7" s="12"/>
      <x:c r="F7" s="12"/>
      <x:c r="G7" s="12"/>
      <x:c r="H7" s="12"/>
      <x:c r="I7" s="12"/>
    </x:row>
    <x:row r="8">
      <x:c r="A8" s="37"/>
      <x:c r="B8" s="12"/>
      <x:c r="C8" s="12"/>
      <x:c r="D8" s="12"/>
      <x:c r="E8" s="12"/>
      <x:c r="F8" s="12"/>
      <x:c r="G8" s="12"/>
      <x:c r="H8" s="12"/>
      <x:c r="I8" s="12"/>
    </x:row>
    <x:row r="9">
      <x:c r="A9" s="37"/>
      <x:c r="B9" s="12"/>
      <x:c r="C9" s="12"/>
      <x:c r="D9" s="12"/>
      <x:c r="E9" s="12"/>
      <x:c r="F9" s="12"/>
      <x:c r="G9" s="12"/>
      <x:c r="H9" s="12"/>
      <x:c r="I9" s="12"/>
    </x:row>
    <x:row r="10">
      <x:c r="A10" s="37"/>
      <x:c r="B10" s="12"/>
      <x:c r="C10" s="12"/>
      <x:c r="D10" s="12"/>
      <x:c r="E10" s="12"/>
      <x:c r="F10" s="12"/>
      <x:c r="G10" s="12"/>
      <x:c r="H10" s="12"/>
      <x:c r="I10" s="12"/>
    </x:row>
    <x:row r="11">
      <x:c r="A11" s="37"/>
      <x:c r="B11" s="12"/>
      <x:c r="C11" s="12"/>
      <x:c r="D11" s="12"/>
      <x:c r="E11" s="12"/>
      <x:c r="F11" s="12"/>
      <x:c r="G11" s="12"/>
      <x:c r="H11" s="12"/>
      <x:c r="I11" s="12"/>
    </x:row>
    <x:row r="12">
      <x:c r="A12" s="37"/>
      <x:c r="B12" s="12"/>
      <x:c r="C12" s="12"/>
      <x:c r="D12" s="12"/>
      <x:c r="E12" s="12"/>
      <x:c r="F12" s="12"/>
      <x:c r="G12" s="12"/>
      <x:c r="H12" s="12"/>
      <x:c r="I12" s="12"/>
    </x:row>
    <x:row r="13">
      <x:c r="A13" s="37"/>
      <x:c r="B13" s="12"/>
      <x:c r="C13" s="12"/>
      <x:c r="D13" s="12"/>
      <x:c r="E13" s="12"/>
      <x:c r="F13" s="12"/>
      <x:c r="G13" s="12"/>
      <x:c r="H13" s="12"/>
      <x:c r="I13" s="12"/>
    </x:row>
    <x:row r="14">
      <x:c r="A14" s="37"/>
      <x:c r="B14" s="12"/>
      <x:c r="C14" s="12"/>
      <x:c r="D14" s="12"/>
      <x:c r="E14" s="12"/>
      <x:c r="F14" s="12"/>
      <x:c r="G14" s="12"/>
      <x:c r="H14" s="12"/>
      <x:c r="I14" s="12"/>
    </x:row>
    <x:row r="15">
      <x:c r="A15" s="37"/>
      <x:c r="B15" s="12"/>
      <x:c r="C15" s="12"/>
      <x:c r="D15" s="12"/>
      <x:c r="E15" s="12"/>
      <x:c r="F15" s="12"/>
      <x:c r="G15" s="12"/>
      <x:c r="H15" s="12"/>
      <x:c r="I15" s="12"/>
    </x:row>
    <x:row r="16">
      <x:c r="A16" s="37"/>
      <x:c r="B16" s="12"/>
      <x:c r="C16" s="12"/>
      <x:c r="D16" s="12"/>
      <x:c r="E16" s="12"/>
      <x:c r="F16" s="12"/>
      <x:c r="G16" s="12"/>
      <x:c r="H16" s="12"/>
      <x:c r="I16" s="12"/>
    </x:row>
    <x:row r="17">
      <x:c r="A17" s="37"/>
      <x:c r="B17" s="12"/>
      <x:c r="C17" s="12"/>
      <x:c r="D17" s="12"/>
      <x:c r="E17" s="12"/>
      <x:c r="F17" s="12"/>
      <x:c r="G17" s="12"/>
      <x:c r="H17" s="12"/>
      <x:c r="I17" s="12"/>
    </x:row>
    <x:row r="18">
      <x:c r="A18" s="37"/>
      <x:c r="B18" s="12"/>
      <x:c r="C18" s="12"/>
      <x:c r="D18" s="12"/>
      <x:c r="E18" s="12"/>
      <x:c r="F18" s="12"/>
      <x:c r="G18" s="12"/>
      <x:c r="H18" s="12"/>
      <x:c r="I18" s="12"/>
    </x:row>
    <x:row r="19">
      <x:c r="A19" s="37"/>
      <x:c r="B19" s="12"/>
      <x:c r="C19" s="12"/>
      <x:c r="D19" s="12"/>
      <x:c r="E19" s="12"/>
      <x:c r="F19" s="12"/>
      <x:c r="G19" s="12"/>
      <x:c r="H19" s="12"/>
      <x:c r="I19" s="12"/>
    </x:row>
    <x:row r="20">
      <x:c r="A20" s="37"/>
      <x:c r="B20" s="12"/>
      <x:c r="C20" s="12"/>
      <x:c r="D20" s="12"/>
      <x:c r="E20" s="12"/>
      <x:c r="F20" s="12"/>
      <x:c r="G20" s="12"/>
      <x:c r="H20" s="12"/>
      <x:c r="I20" s="12"/>
    </x:row>
    <x:row r="21">
      <x:c r="A21" s="37"/>
      <x:c r="B21" s="12"/>
      <x:c r="C21" s="12"/>
      <x:c r="D21" s="12"/>
      <x:c r="E21" s="12"/>
      <x:c r="F21" s="12"/>
      <x:c r="G21" s="12"/>
      <x:c r="H21" s="12"/>
      <x:c r="I21" s="12"/>
    </x:row>
    <x:row r="22">
      <x:c r="A22" s="37"/>
      <x:c r="B22" s="12"/>
      <x:c r="C22" s="12"/>
      <x:c r="D22" s="12"/>
      <x:c r="E22" s="12"/>
      <x:c r="F22" s="12"/>
      <x:c r="G22" s="12"/>
      <x:c r="H22" s="12"/>
      <x:c r="I22" s="12"/>
    </x:row>
    <x:row r="23">
      <x:c r="A23" s="37"/>
      <x:c r="B23" s="12"/>
      <x:c r="C23" s="12"/>
      <x:c r="D23" s="12"/>
      <x:c r="E23" s="12"/>
      <x:c r="F23" s="12"/>
      <x:c r="G23" s="12"/>
      <x:c r="H23" s="12"/>
      <x:c r="I23" s="12"/>
    </x:row>
    <x:row r="24">
      <x:c r="A24" s="37"/>
      <x:c r="B24" s="12"/>
      <x:c r="C24" s="12"/>
      <x:c r="D24" s="12"/>
      <x:c r="E24" s="12"/>
      <x:c r="F24" s="12"/>
      <x:c r="G24" s="12"/>
      <x:c r="H24" s="12"/>
      <x:c r="I24" s="12"/>
    </x:row>
    <x:row r="25">
      <x:c r="A25" s="37"/>
      <x:c r="B25" s="12"/>
      <x:c r="C25" s="12"/>
      <x:c r="D25" s="12"/>
      <x:c r="E25" s="12"/>
      <x:c r="F25" s="12"/>
      <x:c r="G25" s="12"/>
      <x:c r="H25" s="12"/>
      <x:c r="I25" s="12"/>
    </x:row>
    <x:row r="26">
      <x:c r="A26" s="37"/>
      <x:c r="B26" s="12"/>
      <x:c r="C26" s="12"/>
      <x:c r="D26" s="12"/>
      <x:c r="E26" s="12"/>
      <x:c r="F26" s="12"/>
      <x:c r="G26" s="12"/>
      <x:c r="H26" s="12"/>
      <x:c r="I26" s="12"/>
    </x:row>
    <x:row r="27">
      <x:c r="A27" s="37"/>
      <x:c r="B27" s="12"/>
      <x:c r="C27" s="12"/>
      <x:c r="D27" s="12"/>
      <x:c r="E27" s="12"/>
      <x:c r="F27" s="12"/>
      <x:c r="G27" s="12"/>
      <x:c r="H27" s="12"/>
      <x:c r="I27" s="12"/>
    </x:row>
    <x:row r="28">
      <x:c r="A28" s="37"/>
      <x:c r="B28" s="12"/>
      <x:c r="C28" s="12"/>
      <x:c r="D28" s="12"/>
      <x:c r="E28" s="12"/>
      <x:c r="F28" s="12"/>
      <x:c r="G28" s="12"/>
      <x:c r="H28" s="12"/>
      <x:c r="I28" s="12"/>
    </x:row>
    <x:row r="29">
      <x:c r="A29" s="37"/>
      <x:c r="B29" s="12"/>
      <x:c r="C29" s="12"/>
      <x:c r="D29" s="12"/>
      <x:c r="E29" s="12"/>
      <x:c r="F29" s="12"/>
      <x:c r="G29" s="12"/>
      <x:c r="H29" s="12"/>
      <x:c r="I29" s="12"/>
    </x:row>
    <x:row r="30">
      <x:c r="A30" s="37"/>
      <x:c r="B30" s="12"/>
      <x:c r="C30" s="12"/>
      <x:c r="D30" s="12"/>
      <x:c r="E30" s="12"/>
      <x:c r="F30" s="12"/>
      <x:c r="G30" s="12"/>
      <x:c r="H30" s="12"/>
      <x:c r="I30" s="12"/>
    </x:row>
    <x:row r="31">
      <x:c r="A31" s="37"/>
      <x:c r="B31" s="12"/>
      <x:c r="C31" s="12"/>
      <x:c r="D31" s="12"/>
      <x:c r="E31" s="12"/>
      <x:c r="F31" s="12"/>
      <x:c r="G31" s="12"/>
      <x:c r="H31" s="12"/>
      <x:c r="I31" s="12"/>
    </x:row>
    <x:row r="32">
      <x:c r="A32" s="37"/>
      <x:c r="B32" s="12"/>
      <x:c r="C32" s="12"/>
      <x:c r="D32" s="12"/>
      <x:c r="E32" s="12"/>
      <x:c r="F32" s="12"/>
      <x:c r="G32" s="12"/>
      <x:c r="H32" s="12"/>
      <x:c r="I32" s="12"/>
    </x:row>
    <x:row r="33">
      <x:c r="A33" s="37"/>
      <x:c r="B33" s="12"/>
      <x:c r="C33" s="12"/>
      <x:c r="D33" s="12"/>
      <x:c r="E33" s="12"/>
      <x:c r="F33" s="12"/>
      <x:c r="G33" s="12"/>
      <x:c r="H33" s="12"/>
      <x:c r="I33" s="12"/>
    </x:row>
    <x:row r="34">
      <x:c r="A34" s="37"/>
      <x:c r="B34" s="12"/>
      <x:c r="C34" s="12"/>
      <x:c r="D34" s="12"/>
      <x:c r="E34" s="12"/>
      <x:c r="F34" s="12"/>
      <x:c r="G34" s="12"/>
      <x:c r="H34" s="12"/>
      <x:c r="I34" s="12"/>
    </x:row>
    <x:row r="35">
      <x:c r="A35" s="37"/>
      <x:c r="B35" s="12"/>
      <x:c r="C35" s="12"/>
      <x:c r="D35" s="12"/>
      <x:c r="E35" s="12"/>
      <x:c r="F35" s="12"/>
      <x:c r="G35" s="12"/>
      <x:c r="H35" s="12"/>
      <x:c r="I35" s="12"/>
    </x:row>
    <x:row r="36">
      <x:c r="A36" s="37"/>
      <x:c r="B36" s="12"/>
      <x:c r="C36" s="12"/>
      <x:c r="D36" s="12"/>
      <x:c r="E36" s="12"/>
      <x:c r="F36" s="12"/>
      <x:c r="G36" s="12"/>
      <x:c r="H36" s="12"/>
      <x:c r="I36" s="12"/>
    </x:row>
    <x:row r="37">
      <x:c r="A37" s="37"/>
      <x:c r="B37" s="12"/>
      <x:c r="C37" s="12"/>
      <x:c r="D37" s="12"/>
      <x:c r="E37" s="12"/>
      <x:c r="F37" s="12"/>
      <x:c r="G37" s="12"/>
      <x:c r="H37" s="12"/>
      <x:c r="I37" s="12"/>
    </x:row>
    <x:row r="38">
      <x:c r="A38" s="37"/>
      <x:c r="B38" s="12"/>
      <x:c r="C38" s="12"/>
      <x:c r="D38" s="12"/>
      <x:c r="E38" s="12"/>
      <x:c r="F38" s="12"/>
      <x:c r="G38" s="12"/>
      <x:c r="H38" s="12"/>
      <x:c r="I38" s="12"/>
    </x:row>
    <x:row r="39">
      <x:c r="A39" s="37"/>
      <x:c r="B39" s="12"/>
      <x:c r="C39" s="12"/>
      <x:c r="D39" s="12"/>
      <x:c r="E39" s="12"/>
      <x:c r="F39" s="12"/>
      <x:c r="G39" s="12"/>
      <x:c r="H39" s="12"/>
      <x:c r="I39" s="12"/>
    </x:row>
    <x:row r="40">
      <x:c r="A40" s="37"/>
      <x:c r="B40" s="12"/>
      <x:c r="C40" s="12"/>
      <x:c r="D40" s="12"/>
      <x:c r="E40" s="12"/>
      <x:c r="F40" s="12"/>
      <x:c r="G40" s="12"/>
      <x:c r="H40" s="12"/>
      <x:c r="I40" s="12"/>
    </x:row>
    <x:row r="41">
      <x:c r="A41" s="37"/>
      <x:c r="B41" s="12"/>
      <x:c r="C41" s="12"/>
      <x:c r="D41" s="12"/>
      <x:c r="E41" s="12"/>
      <x:c r="F41" s="12"/>
      <x:c r="G41" s="12"/>
      <x:c r="H41" s="12"/>
      <x:c r="I41" s="12"/>
    </x:row>
    <x:row r="42">
      <x:c r="A42" s="37"/>
      <x:c r="B42" s="12"/>
      <x:c r="C42" s="12"/>
      <x:c r="D42" s="12"/>
      <x:c r="E42" s="12"/>
      <x:c r="F42" s="12"/>
      <x:c r="G42" s="12"/>
      <x:c r="H42" s="12"/>
      <x:c r="I42" s="12"/>
    </x:row>
    <x:row r="43">
      <x:c r="A43" s="37"/>
      <x:c r="B43" s="12"/>
      <x:c r="C43" s="12"/>
      <x:c r="D43" s="12"/>
      <x:c r="E43" s="12"/>
      <x:c r="F43" s="12"/>
      <x:c r="G43" s="12"/>
      <x:c r="H43" s="12"/>
      <x:c r="I43" s="12"/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3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1042f85c7c2489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6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6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6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6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6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6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6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60" customHeight="1">
      <x:c r="A9" s="14" t="str">
        <x:v>R8</x:v>
      </x:c>
      <x:c r="B9" s="14" t="str">
        <x:v>Roadmap</x:v>
      </x:c>
      <x:c r="C9" s="14" t="str">
        <x:v>Future unreleased data assumptions distort present architecture.</x:v>
      </x:c>
      <x:c r="D9" s="14" t="str">
        <x:v>Medium</x:v>
      </x:c>
      <x:c r="E9" s="14" t="str">
        <x:v>Medium</x:v>
      </x:c>
      <x:c r="F9" s="14" t="str">
        <x:v>Use placeholder interfaces only; current loops must run on public/synthetic data.</x:v>
      </x:c>
      <x:c r="G9" s="14" t="str">
        <x:v>Implementation requires unavailable dataset.</x:v>
      </x:c>
      <x:c r="H9" s="14" t="str">
        <x:v>GPT</x:v>
      </x:c>
      <x:c r="I9" s="14" t="str">
        <x:v>Open</x:v>
      </x:c>
    </x:row>
  </x:sheetData>
  <x:dataValidations count="4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e6237d915f467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Create a minimal CTC scaffold that proves the interface, not SOTA accuracy.</x:v>
      </x:c>
    </x:row>
    <x:row r="11" ht="58" customHeight="1">
      <x:c r="A11" s="14" t="n">
        <x:v>10</x:v>
      </x:c>
      <x:c r="B11" s="14" t="str">
        <x:v>Sampling-Rate Sweep</x:v>
      </x:c>
      <x:c r="C11" s="14" t="str">
        <x:v>Run a simple sampling-rate sweep and report accuracy/size/time tradeoffs.</x:v>
      </x:c>
    </x:row>
    <x:row r="12" ht="58" customHeight="1">
      <x:c r="A12" s="14" t="n">
        <x:v>11</x:v>
      </x:c>
      <x:c r="B12" s="14" t="str">
        <x:v>Channel / Sensor Subset Sweep</x:v>
      </x:c>
      <x:c r="C12" s="14" t="str">
        <x:v>Implement channel subset sweeps using explicit strategies and honest caveats.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Compare cache precision/storage formats and produce a size-versus-score report.</x:v>
      </x:c>
    </x:row>
    <x:row r="14" ht="58" customHeight="1">
      <x:c r="A14" s="14" t="n">
        <x:v>13</x:v>
      </x:c>
      <x:c r="B14" s="14" t="str">
        <x:v>Zarr / Lazy Cache Backend</x:v>
      </x:c>
      <x:c r="C14" s="14" t="str">
        <x:v>Add Zarr as an optional backend only after NPZ is stable; do not break the simple path.</x:v>
      </x:c>
    </x:row>
    <x:row r="15" ht="58" customHeight="1">
      <x:c r="A15" s="14" t="n">
        <x:v>14</x:v>
      </x:c>
      <x:c r="B15" s="14" t="str">
        <x:v>Split Protocol v1</x:v>
      </x:c>
      <x:c r="C15" s="14" t="str">
        <x:v>Make split type explicit and impossible to ignore in every training/eval report.</x:v>
      </x:c>
    </x:row>
    <x:row r="16" ht="58" customHeight="1">
      <x:c r="A16" s="14" t="n">
        <x:v>15</x:v>
      </x:c>
      <x:c r="B16" s="14" t="str">
        <x:v>Normalization + Adapter Baseline</x:v>
      </x:c>
      <x:c r="C16" s="14" t="str">
        <x:v>Implement the lightest adapter experiment possible: normalization first, learned adapter second.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Create a calibration curve runner that works on synthetic data and plugs into real caches.</x:v>
      </x:c>
    </x:row>
    <x:row r="18" ht="58" customHeight="1">
      <x:c r="A18" s="14" t="n">
        <x:v>17</x:v>
      </x:c>
      <x:c r="B18" s="14" t="str">
        <x:v>Gradio Demo v1</x:v>
      </x:c>
      <x:c r="C18" s="14" t="str">
        <x:v>Make a small honest demo: no hype, just signal, prediction, errors, and uncertainty.</x:v>
      </x:c>
    </x:row>
    <x:row r="19" ht="58" customHeight="1">
      <x:c r="A19" s="14" t="n">
        <x:v>18</x:v>
      </x:c>
      <x:c r="B19" s="14" t="str">
        <x:v>Leaderboard + Report Cards</x:v>
      </x:c>
      <x:c r="C19" s="14" t="str">
        <x:v>Build the experiment report-card format and local leaderboard; make missing metadata obvious.</x:v>
      </x:c>
    </x:row>
    <x:row r="20" ht="58" customHeight="1">
      <x:c r="A20" s="14" t="n">
        <x:v>19</x:v>
      </x:c>
      <x:c r="B20" s="14" t="str">
        <x:v>EEG / MOABB Bridge</x:v>
      </x:c>
      <x:c r="C20" s="14" t="str">
        <x:v>Explore an EEG adapter only after the core MEG loop is stable; keep claims conservative.</x:v>
      </x:c>
    </x:row>
    <x:row r="21" ht="58" customHeight="1">
      <x:c r="A21" s="14" t="n">
        <x:v>20</x:v>
      </x:c>
      <x:c r="B21" s="14" t="str">
        <x:v>Neurotokens / v2-ready Interface</x:v>
      </x:c>
      <x:c r="C21" s="14" t="str">
        <x:v>Design the neurotoken interface as a small abstraction, not a grand architecture rewrite.</x:v>
      </x:c>
    </x:row>
  </x:sheetData>
  <x:pageMargins left="0.7" right="0.7" top="0.75" bottom="0.75" header="0.3" footer="0.3"/>
  <x:tableParts count="1">
    <x:tablePart xmlns:r="http://schemas.openxmlformats.org/officeDocument/2006/relationships" r:id="Ra0cf8adf0114456b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