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72ae13219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5438e9ac4e4949"/>
    <x:sheet xmlns:r="http://schemas.openxmlformats.org/officeDocument/2006/relationships" name="Loop Tracker" sheetId="2" r:id="Rde18850480c54770"/>
    <x:sheet xmlns:r="http://schemas.openxmlformats.org/officeDocument/2006/relationships" name="Decision Log" sheetId="3" r:id="R70fc3841182e4d06"/>
    <x:sheet xmlns:r="http://schemas.openxmlformats.org/officeDocument/2006/relationships" name="Risk Register" sheetId="4" r:id="Re3e7bed03af049e6"/>
    <x:sheet xmlns:r="http://schemas.openxmlformats.org/officeDocument/2006/relationships" name="Experiment Template" sheetId="5" r:id="R4d54396bd75a4b30"/>
    <x:sheet xmlns:r="http://schemas.openxmlformats.org/officeDocument/2006/relationships" name="Prompt Bank" sheetId="6" r:id="R33c2c7f3ec1343ef"/>
    <x:sheet xmlns:r="http://schemas.openxmlformats.org/officeDocument/2006/relationships" name="Lists" sheetId="7" r:id="R917cd5c241a7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7F1D1D"/>
      </x:font>
      <x:fill>
        <x:patternFill>
          <x:bgColor rgb="FFFECACA"/>
        </x:patternFill>
      </x:fill>
    </x:dxf>
    <x:dxf>
      <x:font>
        <x:b/>
        <x:color rgb="FF14532D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78350F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cfb11cea8432b" /><Relationship Type="http://schemas.openxmlformats.org/officeDocument/2006/relationships/theme" Target="/xl/theme/theme1.xml" Id="Rab83a9b994c34b80" /><Relationship Type="http://schemas.openxmlformats.org/officeDocument/2006/relationships/sharedStrings" Target="/xl/sharedStrings.xml" Id="Rdc103f2373df4885" /><Relationship Type="http://schemas.openxmlformats.org/officeDocument/2006/relationships/worksheet" Target="/xl/worksheets/sheet1.xml" Id="R975438e9ac4e4949" /><Relationship Type="http://schemas.openxmlformats.org/officeDocument/2006/relationships/worksheet" Target="/xl/worksheets/sheet2.xml" Id="Rde18850480c54770" /><Relationship Type="http://schemas.openxmlformats.org/officeDocument/2006/relationships/worksheet" Target="/xl/worksheets/sheet3.xml" Id="R70fc3841182e4d06" /><Relationship Type="http://schemas.openxmlformats.org/officeDocument/2006/relationships/worksheet" Target="/xl/worksheets/sheet4.xml" Id="Re3e7bed03af049e6" /><Relationship Type="http://schemas.openxmlformats.org/officeDocument/2006/relationships/worksheet" Target="/xl/worksheets/sheet5.xml" Id="R4d54396bd75a4b30" /><Relationship Type="http://schemas.openxmlformats.org/officeDocument/2006/relationships/worksheet" Target="/xl/worksheets/sheet6.xml" Id="R33c2c7f3ec1343ef" /><Relationship Type="http://schemas.openxmlformats.org/officeDocument/2006/relationships/worksheet" Target="/xl/worksheets/sheet7.xml" Id="R917cd5c241a742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b63114c4fe40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Loops by Phase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Loops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'Dashboard'!$B$13:$B$18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b63114c4fe40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opTrackerTable" displayName="LoopTrackerTable" ref="A1:T21" headerRowCount="1">
  <x:tableColumns count="20">
    <x:tableColumn id="1" name="Loop ID"/>
    <x:tableColumn id="2" name="Phase"/>
    <x:tableColumn id="3" name="Loop Name"/>
    <x:tableColumn id="4" name="Core Question"/>
    <x:tableColumn id="5" name="Build Deliverable"/>
    <x:tableColumn id="6" name="Research Deliverable"/>
    <x:tableColumn id="7" name="Data Scope"/>
    <x:tableColumn id="8" name="Method / Baseline"/>
    <x:tableColumn id="9" name="Primary Metric"/>
    <x:tableColumn id="10" name="Acceptance Gate"/>
    <x:tableColumn id="11" name="Status"/>
    <x:tableColumn id="12" name="Priority"/>
    <x:tableColumn id="13" name="Owner"/>
    <x:tableColumn id="14" name="Effort"/>
    <x:tableColumn id="15" name="Dependencies"/>
    <x:tableColumn id="16" name="Complexity"/>
    <x:tableColumn id="17" name="Codex Prompt Seed"/>
    <x:tableColumn id="18" name="Notes"/>
    <x:tableColumn id="19" name="Score"/>
    <x:tableColumn id="20" name="Health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I6" headerRowCount="1">
  <x:tableColumns count="9">
    <x:tableColumn id="1" name="Date"/>
    <x:tableColumn id="2" name="Loop ID"/>
    <x:tableColumn id="3" name="Decision"/>
    <x:tableColumn id="4" name="Rationale"/>
    <x:tableColumn id="5" name="Evidence / Link"/>
    <x:tableColumn id="6" name="Reversible?"/>
    <x:tableColumn id="7" name="Owner"/>
    <x:tableColumn id="8" name="Next Review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RegisterTable" displayName="RiskRegisterTable" ref="A1:I9" headerRowCount="1">
  <x:tableColumns count="9">
    <x:tableColumn id="1" name="Risk ID"/>
    <x:tableColumn id="2" name="Area"/>
    <x:tableColumn id="3" name="Risk"/>
    <x:tableColumn id="4" name="Likelihood"/>
    <x:tableColumn id="5" name="Impact"/>
    <x:tableColumn id="6" name="Mitigation"/>
    <x:tableColumn id="7" name="Trigger"/>
    <x:tableColumn id="8" name="Owner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PromptBankTable" displayName="PromptBankTable" ref="A1:C21" headerRowCount="1">
  <x:tableColumns count="3">
    <x:tableColumn id="1" name="Loop ID"/>
    <x:tableColumn id="2" name="Loop Name"/>
    <x:tableColumn id="3" name="Prompt Se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a3c80cdf3d4b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b868de346242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f4c07f008d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deadc505b243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20f18be00d439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21" t="str">
        <x:v>NeuroDecodeKit: Post-PR1 20-Loop Tracker</x:v>
      </x:c>
      <x:c r="B1" s="21"/>
      <x:c r="C1" s="21"/>
      <x:c r="D1" s="21"/>
      <x:c r="E1" s="21"/>
      <x:c r="F1" s="21"/>
      <x:c r="G1" s="21"/>
      <x:c r="H1" s="21"/>
    </x:row>
    <x:row r="2">
      <x:c r="A2" s="29" t="str">
        <x:v>Core rule: keep the loop tiny, honest, measured, and repeatable before adding model complexity.</x:v>
      </x:c>
      <x:c r="B2" s="29" t="str"/>
      <x:c r="C2" s="29" t="str"/>
      <x:c r="D2" s="29" t="str"/>
      <x:c r="E2" s="29" t="str"/>
      <x:c r="F2" s="29" t="str"/>
      <x:c r="G2" s="29" t="str"/>
      <x:c r="H2" s="29" t="str"/>
    </x:row>
    <x:row r="4" ht="30" customHeight="1">
      <x:c r="A4" s="6" t="str">
        <x:v>KPI</x:v>
      </x:c>
      <x:c r="B4" s="6" t="str">
        <x:v>Value</x:v>
      </x:c>
      <x:c r="F4" s="6" t="str">
        <x:v>How to use this tracker</x:v>
      </x:c>
      <x:c r="G4" s="6" t="str"/>
      <x:c r="H4" s="6" t="str"/>
    </x:row>
    <x:row r="5">
      <x:c r="A5" s="36" t="str">
        <x:v>Total loops</x:v>
      </x:c>
      <x:c r="B5" s="36" t="n">
        <x:f>COUNTA('Loop Tracker'!$A$2:$A$21)</x:f>
        <x:v>20</x:v>
      </x:c>
      <x:c r="F5" s="29" t="str">
        <x:v>1) Work top-down unless a blocker forces a spike.
2) Keep each loop small enough for one PR or one experiment note.
3) Every loop needs an acceptance gate, not vibes.
4) Add complexity only after a simpler baseline fails.
5) Never silently download huge neurodata.
6) Record kill/iterate/proceed decisions in the Decision Log.</x:v>
      </x:c>
      <x:c r="G5" s="29" t="str"/>
      <x:c r="H5" s="29" t="str"/>
    </x:row>
    <x:row r="6">
      <x:c r="A6" s="36" t="str">
        <x:v>Done</x:v>
      </x:c>
      <x:c r="B6" s="36" t="n">
        <x:v>5</x:v>
      </x:c>
      <x:c r="F6" s="29" t="str"/>
      <x:c r="G6" s="29" t="str"/>
      <x:c r="H6" s="29" t="str"/>
    </x:row>
    <x:row r="7">
      <x:c r="A7" s="36" t="str">
        <x:v>Active</x:v>
      </x:c>
      <x:c r="B7" s="36" t="n">
        <x:f>COUNTIF('Loop Tracker'!$K$2:$K$21,"In Progress")+COUNTIF('Loop Tracker'!$K$2:$K$21,"Review")</x:f>
        <x:v>0</x:v>
      </x:c>
      <x:c r="F7" s="29" t="str"/>
      <x:c r="G7" s="29" t="str"/>
      <x:c r="H7" s="29" t="str"/>
    </x:row>
    <x:row r="8">
      <x:c r="A8" s="36" t="str">
        <x:v>Blocked</x:v>
      </x:c>
      <x:c r="B8" s="36" t="n">
        <x:f>COUNTIF('Loop Tracker'!$K$2:$K$21,"Blocked")</x:f>
        <x:v>0</x:v>
      </x:c>
      <x:c r="F8" s="29" t="str"/>
      <x:c r="G8" s="29" t="str"/>
      <x:c r="H8" s="29" t="str"/>
    </x:row>
    <x:row r="9">
      <x:c r="A9" s="36" t="str">
        <x:v>Average progress</x:v>
      </x:c>
      <x:c r="B9" s="34" t="n">
        <x:v>0.25</x:v>
      </x:c>
      <x:c r="F9" s="29" t="str"/>
      <x:c r="G9" s="29" t="str"/>
      <x:c r="H9" s="29" t="str"/>
    </x:row>
    <x:row r="10">
      <x:c r="A10" s="36" t="str">
        <x:v>Next operating rule</x:v>
      </x:c>
      <x:c r="B10" s="36" t="str">
        <x:v>Only start a new loop when the previous loop has a cache/report/demo or an explicit kill decision.</x:v>
      </x:c>
      <x:c r="F10" s="29" t="str"/>
      <x:c r="G10" s="29" t="str"/>
      <x:c r="H10" s="29" t="str"/>
    </x:row>
    <x:row r="11">
      <x:c r="F11" s="29" t="str"/>
      <x:c r="G11" s="29" t="str"/>
      <x:c r="H11" s="29" t="str"/>
    </x:row>
    <x:row r="12" ht="30" customHeight="1">
      <x:c r="A12" s="6" t="str">
        <x:v>Phase</x:v>
      </x:c>
      <x:c r="B12" s="6" t="str">
        <x:v>Loops</x:v>
      </x:c>
      <x:c r="C12" s="6" t="str">
        <x:v>Done</x:v>
      </x:c>
      <x:c r="D12" s="6" t="str">
        <x:v>Progress</x:v>
      </x:c>
      <x:c r="F12" s="29" t="str"/>
      <x:c r="G12" s="29" t="str"/>
      <x:c r="H12" s="29" t="str"/>
    </x:row>
    <x:row r="13">
      <x:c r="A13" t="str">
        <x:v>Foundation</x:v>
      </x:c>
      <x:c r="B13" t="n">
        <x:f>COUNTIF('Loop Tracker'!$B$2:$B$21,A13)</x:f>
        <x:v>5</x:v>
      </x:c>
      <x:c r="C13" t="n">
        <x:v>5</x:v>
      </x:c>
      <x:c r="D13" s="34" t="n">
        <x:v>1</x:v>
      </x:c>
      <x:c r="F13" s="29" t="str"/>
      <x:c r="G13" s="29" t="str"/>
      <x:c r="H13" s="29" t="str"/>
    </x:row>
    <x:row r="14">
      <x:c r="A14" t="str">
        <x:v>Baselines</x:v>
      </x:c>
      <x:c r="B14" t="n">
        <x:f>COUNTIF('Loop Tracker'!$B$2:$B$21,A14)</x:f>
        <x:v>4</x:v>
      </x:c>
      <x:c r="C14" t="n">
        <x:f>COUNTIFS('Loop Tracker'!$B$2:$B$21,A14,'Loop Tracker'!$K$2:$K$21,"Done")</x:f>
        <x:v>0</x:v>
      </x:c>
      <x:c r="D14" s="34" t="n">
        <x:f>IF(B14=0,0,C14/B14)</x:f>
        <x:v>0</x:v>
      </x:c>
    </x:row>
    <x:row r="15">
      <x:c r="A15" t="str">
        <x:v>Compression</x:v>
      </x:c>
      <x:c r="B15" t="n">
        <x:f>COUNTIF('Loop Tracker'!$B$2:$B$21,A15)</x:f>
        <x:v>4</x:v>
      </x:c>
      <x:c r="C15" t="n">
        <x:f>COUNTIFS('Loop Tracker'!$B$2:$B$21,A15,'Loop Tracker'!$K$2:$K$21,"Done")</x:f>
        <x:v>0</x:v>
      </x:c>
      <x:c r="D15" s="34" t="n">
        <x:f>IF(B15=0,0,C15/B15)</x:f>
        <x:v>0</x:v>
      </x:c>
    </x:row>
    <x:row r="16">
      <x:c r="A16" t="str">
        <x:v>Generalization</x:v>
      </x:c>
      <x:c r="B16" t="n">
        <x:f>COUNTIF('Loop Tracker'!$B$2:$B$21,A16)</x:f>
        <x:v>3</x:v>
      </x:c>
      <x:c r="C16" t="n">
        <x:f>COUNTIFS('Loop Tracker'!$B$2:$B$21,A16,'Loop Tracker'!$K$2:$K$21,"Done")</x:f>
        <x:v>0</x:v>
      </x:c>
      <x:c r="D16" s="34" t="n">
        <x:f>IF(B16=0,0,C16/B16)</x:f>
        <x:v>0</x:v>
      </x:c>
    </x:row>
    <x:row r="17">
      <x:c r="A17" t="str">
        <x:v>UX &amp; Reproducibility</x:v>
      </x:c>
      <x:c r="B17" t="n">
        <x:f>COUNTIF('Loop Tracker'!$B$2:$B$21,A17)</x:f>
        <x:v>2</x:v>
      </x:c>
      <x:c r="C17" t="n">
        <x:f>COUNTIFS('Loop Tracker'!$B$2:$B$21,A17,'Loop Tracker'!$K$2:$K$21,"Done")</x:f>
        <x:v>0</x:v>
      </x:c>
      <x:c r="D17" s="34" t="n">
        <x:f>IF(B17=0,0,C17/B17)</x:f>
        <x:v>0</x:v>
      </x:c>
    </x:row>
    <x:row r="18">
      <x:c r="A18" t="str">
        <x:v>Expansion</x:v>
      </x:c>
      <x:c r="B18" t="n">
        <x:f>COUNTIF('Loop Tracker'!$B$2:$B$21,A18)</x:f>
        <x:v>2</x:v>
      </x:c>
      <x:c r="C18" t="n">
        <x:f>COUNTIFS('Loop Tracker'!$B$2:$B$21,A18,'Loop Tracker'!$K$2:$K$21,"Done")</x:f>
        <x:v>0</x:v>
      </x:c>
      <x:c r="D18" s="34" t="n">
        <x:f>IF(B18=0,0,C18/B18)</x:f>
        <x:v>0</x:v>
      </x:c>
    </x:row>
  </x:sheetData>
  <x:mergeCells>
    <x:mergeCell ref="A1:H1"/>
    <x:mergeCell ref="A2:H2"/>
    <x:mergeCell ref="F4:H4"/>
    <x:mergeCell ref="F5:H13"/>
  </x:mergeCells>
  <x:pageMargins left="0.7" right="0.7" top="0.75" bottom="0.75" header="0.3" footer="0.3"/>
  <x:drawing xmlns:r="http://schemas.openxmlformats.org/officeDocument/2006/relationships" r:id="R10a3c80cdf3d4be0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38" hidden="0" customWidth="1"/>
    <x:col min="5" max="5" width="40" hidden="0" customWidth="1"/>
    <x:col min="6" max="6" width="38" hidden="0" customWidth="1"/>
    <x:col min="7" max="7" width="28" hidden="0" customWidth="1"/>
    <x:col min="8" max="8" width="32" hidden="0" customWidth="1"/>
    <x:col min="9" max="9" width="24" hidden="0" customWidth="1"/>
    <x:col min="10" max="10" width="42" hidden="0" customWidth="1"/>
    <x:col min="11" max="11" width="14" hidden="0" customWidth="1"/>
    <x:col min="12" max="12" width="10" hidden="0" customWidth="1"/>
    <x:col min="13" max="13" width="12" hidden="0" customWidth="1"/>
    <x:col min="14" max="14" width="10" hidden="0" customWidth="1"/>
    <x:col min="15" max="15" width="24" hidden="0" customWidth="1"/>
    <x:col min="16" max="16" width="12" hidden="0" customWidth="1"/>
    <x:col min="17" max="17" width="44" hidden="0" customWidth="1"/>
    <x:col min="18" max="18" width="24" hidden="0" customWidth="1"/>
    <x:col min="19" max="19" width="10" hidden="0" customWidth="1"/>
    <x:col min="20" max="20" width="18" hidden="0" customWidth="1"/>
  </x:cols>
  <x:sheetData>
    <x:row r="1" ht="30" customHeight="1">
      <x:c r="A1" s="6" t="str">
        <x:v>Loop ID</x:v>
      </x:c>
      <x:c r="B1" s="6" t="str">
        <x:v>Phase</x:v>
      </x:c>
      <x:c r="C1" s="6" t="str">
        <x:v>Loop Name</x:v>
      </x:c>
      <x:c r="D1" s="6" t="str">
        <x:v>Core Question</x:v>
      </x:c>
      <x:c r="E1" s="6" t="str">
        <x:v>Build Deliverable</x:v>
      </x:c>
      <x:c r="F1" s="6" t="str">
        <x:v>Research Deliverable</x:v>
      </x:c>
      <x:c r="G1" s="6" t="str">
        <x:v>Data Scope</x:v>
      </x:c>
      <x:c r="H1" s="6" t="str">
        <x:v>Method / Baseline</x:v>
      </x:c>
      <x:c r="I1" s="6" t="str">
        <x:v>Primary Metric</x:v>
      </x:c>
      <x:c r="J1" s="6" t="str">
        <x:v>Acceptance Gate</x:v>
      </x:c>
      <x:c r="K1" s="6" t="str">
        <x:v>Status</x:v>
      </x:c>
      <x:c r="L1" s="6" t="str">
        <x:v>Priority</x:v>
      </x:c>
      <x:c r="M1" s="6" t="str">
        <x:v>Owner</x:v>
      </x:c>
      <x:c r="N1" s="6" t="str">
        <x:v>Effort</x:v>
      </x:c>
      <x:c r="O1" s="6" t="str">
        <x:v>Dependencies</x:v>
      </x:c>
      <x:c r="P1" s="6" t="str">
        <x:v>Complexity</x:v>
      </x:c>
      <x:c r="Q1" s="6" t="str">
        <x:v>Codex Prompt Seed</x:v>
      </x:c>
      <x:c r="R1" s="6" t="str">
        <x:v>Notes</x:v>
      </x:c>
      <x:c r="S1" s="6" t="str">
        <x:v>Score</x:v>
      </x:c>
      <x:c r="T1" s="6" t="str">
        <x:v>Health</x:v>
      </x:c>
    </x:row>
    <x:row r="2" ht="68" customHeight="1">
      <x:c r="A2" s="14" t="n">
        <x:v>1</x:v>
      </x:c>
      <x:c r="B2" s="14" t="str">
        <x:v>Foundation</x:v>
      </x:c>
      <x:c r="C2" s="14" t="str">
        <x:v>PR1 Closeout + Smoke Loop</x:v>
      </x:c>
      <x:c r="D2" s="14" t="str">
        <x:v>Can one real/synthetic event-window extraction path run without hidden assumptions?</x:v>
      </x:c>
      <x:c r="E2" s="14" t="str">
        <x:v>Finalize `extract-windows`; add synthetic smoke data path; produce one `.npz` cache.</x:v>
      </x:c>
      <x:c r="F2" s="14" t="str">
        <x:v>Short note: what event fields were parsed, what was uncertain, what was dropped.</x:v>
      </x:c>
      <x:c r="G2" s="14" t="str">
        <x:v>Synthetic first; then one `.fif` + one `.mat` when available.</x:v>
      </x:c>
      <x:c r="H2" s="14" t="str">
        <x:v>Window extraction only; no model yet.</x:v>
      </x:c>
      <x:c r="I2" s="14" t="str">
        <x:v>events found / kept / dropped; output shape; reproducibility.</x:v>
      </x:c>
      <x:c r="J2" s="14" t="str">
        <x:v>Tests pass; CLI help works; one tiny cache can be produced; blockers documented.</x:v>
      </x:c>
      <x:c r="K2" s="14" t="str">
        <x:v>Done</x:v>
      </x:c>
      <x:c r="L2" s="14" t="str">
        <x:v>P0</x:v>
      </x:c>
      <x:c r="M2" s="14" t="str">
        <x:v>Codex</x:v>
      </x:c>
      <x:c r="N2" s="14" t="str">
        <x:v>S</x:v>
      </x:c>
      <x:c r="O2" s="14" t="str">
        <x:v>PR1 merged</x:v>
      </x:c>
      <x:c r="P2" s="14" t="str">
        <x:v>Low</x:v>
      </x:c>
      <x:c r="Q2" s="14" t="str">
        <x:v>Read PR1 diff, run tests, generate one synthetic cache, then attempt real one-block extraction only if files exist.</x:v>
      </x:c>
      <x:c r="R2" s="14" t="str">
        <x:v>Synthetic smoke path closed on 2026-06-29. Tests and CLI help passed; real extraction blocked until one explicit .fif/.mat pair is present.</x:v>
      </x:c>
      <x:c r="S2" s="16" t="n">
        <x:v>100</x:v>
      </x:c>
      <x:c r="T2" s="14" t="str">
        <x:v>Done</x:v>
      </x:c>
    </x:row>
    <x:row r="3" ht="68" customHeight="1">
      <x:c r="A3" s="14" t="n">
        <x:v>2</x:v>
      </x:c>
      <x:c r="B3" s="14" t="str">
        <x:v>Foundation</x:v>
      </x:c>
      <x:c r="C3" s="14" t="str">
        <x:v>SpanishBCBL Manifest v1</x:v>
      </x:c>
      <x:c r="D3" s="14" t="str">
        <x:v>Can we map subject/session/block/log files before downloading anything large?</x:v>
      </x:c>
      <x:c r="E3" s="14" t="str">
        <x:v>Improve manifest parser with size, modality, subject/session/block, candidate log pairing, and warnings.</x:v>
      </x:c>
      <x:c r="F3" s="14" t="str">
        <x:v>Manifest QA note: ambiguous file patterns, missing logs, naming assumptions.</x:v>
      </x:c>
      <x:c r="G3" s="14" t="str">
        <x:v>Remote file list only; no large file download.</x:v>
      </x:c>
      <x:c r="H3" s="14" t="str">
        <x:v>Path parsing + heuristics + unit tests.</x:v>
      </x:c>
      <x:c r="I3" s="14" t="str">
        <x:v>% files classified; number of ambiguous paths.</x:v>
      </x:c>
      <x:c r="J3" s="14" t="str">
        <x:v>Manifest covers expected MEG/EEG/log file families; ambiguous rows are explicit.</x:v>
      </x:c>
      <x:c r="K3" s="14" t="str">
        <x:v>Done</x:v>
      </x:c>
      <x:c r="L3" s="14" t="str">
        <x:v>P0</x:v>
      </x:c>
      <x:c r="M3" s="14" t="str">
        <x:v>Codex</x:v>
      </x:c>
      <x:c r="N3" s="14" t="str">
        <x:v>S</x:v>
      </x:c>
      <x:c r="O3" s="14" t="str">
        <x:v>Loop 1</x:v>
      </x:c>
      <x:c r="P3" s="14" t="str">
        <x:v>Medium</x:v>
      </x:c>
      <x:c r="Q3" s="14" t="str">
        <x:v>Harden `manifest-from-paths` and produce a manifest summary with explicit unknowns rather than guessing.</x:v>
      </x:c>
      <x:c r="R3" s="14" t="str">
        <x:v>Manifest v1 closed on 2026-06-29. Rows now include family/warnings, optional sizes, and raw/log pairing summaries.</x:v>
      </x:c>
      <x:c r="S3" s="16" t="n">
        <x:v>100</x:v>
      </x:c>
      <x:c r="T3" s="14" t="str">
        <x:v>Done</x:v>
      </x:c>
    </x:row>
    <x:row r="4" ht="68" customHeight="1">
      <x:c r="A4" s="14" t="n">
        <x:v>3</x:v>
      </x:c>
      <x:c r="B4" s="14" t="str">
        <x:v>Foundation</x:v>
      </x:c>
      <x:c r="C4" s="14" t="str">
        <x:v>Safe Tiny-Shard Selector</x:v>
      </x:c>
      <x:c r="D4" s="14" t="str">
        <x:v>Can a user request the smallest meaningful shard without accidentally downloading the universe?</x:v>
      </x:c>
      <x:c r="E4" s="14" t="str">
        <x:v>Add size-aware selection, max-files, max-total-GB, and required `--execute` for downloads.</x:v>
      </x:c>
      <x:c r="F4" s="14" t="str">
        <x:v>Tiny-shard selection policy and default safety limits.</x:v>
      </x:c>
      <x:c r="G4" s="14" t="str">
        <x:v>File manifest + selected MEG/log files.</x:v>
      </x:c>
      <x:c r="H4" s="14" t="str">
        <x:v>Selection constraints and dry-run report.</x:v>
      </x:c>
      <x:c r="I4" s="14" t="str">
        <x:v>planned GB; file count; expected cache shape.</x:v>
      </x:c>
      <x:c r="J4" s="14" t="str">
        <x:v>Dry run prints exact files and size estimate; real download requires explicit confirmation.</x:v>
      </x:c>
      <x:c r="K4" s="14" t="str">
        <x:v>Done</x:v>
      </x:c>
      <x:c r="L4" s="14" t="str">
        <x:v>P0</x:v>
      </x:c>
      <x:c r="M4" s="14" t="str">
        <x:v>Codex</x:v>
      </x:c>
      <x:c r="N4" s="14" t="str">
        <x:v>S</x:v>
      </x:c>
      <x:c r="O4" s="14" t="str">
        <x:v>Loop 2</x:v>
      </x:c>
      <x:c r="P4" s="14" t="str">
        <x:v>Low</x:v>
      </x:c>
      <x:c r="Q4" s="14" t="str">
        <x:v>Make the tiny selector safety-first: max bytes, max files, dry-run default, and clear planned download report.</x:v>
      </x:c>
      <x:c r="R4" s="14" t="str">
        <x:v>Safe selector closed on 2026-06-29. Plans now include caps, exact paths, known bytes, missing-size warnings, dry-run default, and execute guards.</x:v>
      </x:c>
      <x:c r="S4" s="16" t="n">
        <x:v>100</x:v>
      </x:c>
      <x:c r="T4" s="14" t="str">
        <x:v>Done</x:v>
      </x:c>
    </x:row>
    <x:row r="5" ht="68" customHeight="1">
      <x:c r="A5" s="14" t="n">
        <x:v>4</x:v>
      </x:c>
      <x:c r="B5" s="14" t="str">
        <x:v>Foundation</x:v>
      </x:c>
      <x:c r="C5" s="14" t="str">
        <x:v>B2Q-mini Cache v0</x:v>
      </x:c>
      <x:c r="D5" s="14" t="str">
        <x:v>Can one selected block become a reusable tiny cache with enough provenance to trust later results?</x:v>
      </x:c>
      <x:c r="E5" s="14" t="str">
        <x:v>Create `.npz` cache schema v0 and optional metadata sidecar JSON.</x:v>
      </x:c>
      <x:c r="F5" s="14" t="str">
        <x:v>Cache schema spec: windows, labels, event metadata, sfreq, channels, source paths, params.</x:v>
      </x:c>
      <x:c r="G5" s="14" t="str">
        <x:v>One synthetic cache; optional one real block.</x:v>
      </x:c>
      <x:c r="H5" s="14" t="str">
        <x:v>NPZ cache + JSON metadata.</x:v>
      </x:c>
      <x:c r="I5" s="14" t="str">
        <x:v>cache size; load time; shape; label coverage.</x:v>
      </x:c>
      <x:c r="J5" s="14" t="str">
        <x:v>Cache loads with one function; metadata explains every transformation.</x:v>
      </x:c>
      <x:c r="K5" s="14" t="str">
        <x:v>Done</x:v>
      </x:c>
      <x:c r="L5" s="14" t="str">
        <x:v>P0</x:v>
      </x:c>
      <x:c r="M5" s="14" t="str">
        <x:v>Codex</x:v>
      </x:c>
      <x:c r="N5" s="14" t="str">
        <x:v>M</x:v>
      </x:c>
      <x:c r="O5" s="14" t="str">
        <x:v>Loops 1-3</x:v>
      </x:c>
      <x:c r="P5" s="14" t="str">
        <x:v>Medium</x:v>
      </x:c>
      <x:c r="Q5" s="14" t="str">
        <x:v>Define the first stable tiny-cache schema and add a `load-cache` smoke command or test.</x:v>
      </x:c>
      <x:c r="R5" s="14" t="str">
        <x:v>Cache schema v0 closed on 2026-06-29. NPZ caches now load through one schema-aware function with validation, transformations, warnings, and sidecar metadata.</x:v>
      </x:c>
      <x:c r="S5" s="16" t="n">
        <x:v>100</x:v>
      </x:c>
      <x:c r="T5" s="14" t="str">
        <x:v>Done</x:v>
      </x:c>
    </x:row>
    <x:row r="6" ht="68" customHeight="1">
      <x:c r="A6" s="14" t="n">
        <x:v>5</x:v>
      </x:c>
      <x:c r="B6" s="14" t="str">
        <x:v>Foundation</x:v>
      </x:c>
      <x:c r="C6" s="14" t="str">
        <x:v>Metrics + Error Report v1</x:v>
      </x:c>
      <x:c r="D6" s="14" t="str">
        <x:v>Can every run produce an honest report without needing a notebook?</x:v>
      </x:c>
      <x:c r="E6" s="14" t="str">
        <x:v>Add `neurodecode report` that computes CER, WER, keyboard distance, and simple run metadata.</x:v>
      </x:c>
      <x:c r="F6" s="14" t="str">
        <x:v>Metric definitions and when each metric is misleading.</x:v>
      </x:c>
      <x:c r="G6" s="14" t="str">
        <x:v>Synthetic predictions; later tiny real predictions.</x:v>
      </x:c>
      <x:c r="H6" s="14" t="str">
        <x:v>CER/WER + keyboard distance diagnostics.</x:v>
      </x:c>
      <x:c r="I6" s="14" t="str">
        <x:v>CER; WER; avg keyboard distance; coverage.</x:v>
      </x:c>
      <x:c r="J6" s="14" t="str">
        <x:v>Report runs from CLI and writes JSON/Markdown; metric tests pass.</x:v>
      </x:c>
      <x:c r="K6" s="14" t="str">
        <x:v>Done</x:v>
      </x:c>
      <x:c r="L6" s="14" t="str">
        <x:v>P0</x:v>
      </x:c>
      <x:c r="M6" s="14" t="str">
        <x:v>Codex</x:v>
      </x:c>
      <x:c r="N6" s="14" t="str">
        <x:v>S</x:v>
      </x:c>
      <x:c r="O6" s="14" t="str">
        <x:v>Loop 4</x:v>
      </x:c>
      <x:c r="P6" s="14" t="str">
        <x:v>Low</x:v>
      </x:c>
      <x:c r="Q6" s="14" t="str">
        <x:v>Build a report command that turns predictions + targets into a simple JSON/Markdown scorecard.</x:v>
      </x:c>
      <x:c r="R6" s="14" t="str"/>
      <x:c r="S6" s="16" t="n">
        <x:f>IF(K6="Done",1,IF(K6="Review",0.8,IF(K6="In Progress",0.5,IF(K6="Blocked",0.2,IF(K6="Parked",0.1,0)))))</x:f>
        <x:v>1</x:v>
      </x:c>
      <x:c r="T6" s="14" t="str">
        <x:f>IF(K6="Blocked","Fix blocker",IF(K6="Review","Review/merge",IF(AND(L6="P0",K6="Not Started"),"Next candidate",IF(K6="Done","Closed","Normal"))))</x:f>
        <x:v>Closed</x:v>
      </x:c>
    </x:row>
    <x:row r="7" ht="68" customHeight="1">
      <x:c r="A7" s="14" t="n">
        <x:v>6</x:v>
      </x:c>
      <x:c r="B7" s="14" t="str">
        <x:v>Baselines</x:v>
      </x:c>
      <x:c r="C7" s="14" t="str">
        <x:v>LM-only / Prior-only Baseline</x:v>
      </x:c>
      <x:c r="D7" s="14" t="str">
        <x:v>How much performance comes from language priors before using brain data?</x:v>
      </x:c>
      <x:c r="E7" s="14" t="str">
        <x:v>Implement baseline that predicts from label distribution, prompts, or known sentence set without neural signal.</x:v>
      </x:c>
      <x:c r="F7" s="14" t="str">
        <x:v>Baseline note: what a model can guess without MEG/EEG.</x:v>
      </x:c>
      <x:c r="G7" s="14" t="str">
        <x:v>Synthetic and tiny cache labels.</x:v>
      </x:c>
      <x:c r="H7" s="14" t="str">
        <x:v>Prior-only baseline; optional n-gram/known-corpus baseline.</x:v>
      </x:c>
      <x:c r="I7" s="14" t="str">
        <x:v>CER/WER vs neural models later.</x:v>
      </x:c>
      <x:c r="J7" s="14" t="str">
        <x:v>Baseline exists and is reported beside every neural result.</x:v>
      </x:c>
      <x:c r="K7" s="14" t="str">
        <x:v>Not Started</x:v>
      </x:c>
      <x:c r="L7" s="14" t="str">
        <x:v>P0</x:v>
      </x:c>
      <x:c r="M7" s="14" t="str">
        <x:v>Codex</x:v>
      </x:c>
      <x:c r="N7" s="14" t="str">
        <x:v>S</x:v>
      </x:c>
      <x:c r="O7" s="14" t="str">
        <x:v>Loop 5</x:v>
      </x:c>
      <x:c r="P7" s="14" t="str">
        <x:v>Low</x:v>
      </x:c>
      <x:c r="Q7" s="14" t="str">
        <x:v>Implement an intentionally dumb but critical no-brain baseline and wire it into the report.</x:v>
      </x:c>
      <x:c r="R7" s="14" t="str"/>
      <x:c r="S7" s="16" t="n">
        <x:f>IF(K7="Done",1,IF(K7="Review",0.8,IF(K7="In Progress",0.5,IF(K7="Blocked",0.2,IF(K7="Parked",0.1,0)))))</x:f>
        <x:v>0</x:v>
      </x:c>
      <x:c r="T7" s="14" t="str">
        <x:f>IF(K7="Blocked","Fix blocker",IF(K7="Review","Review/merge",IF(AND(L7="P0",K7="Not Started"),"Next candidate",IF(K7="Done","Closed","Normal"))))</x:f>
        <x:v>Next candidate</x:v>
      </x:c>
    </x:row>
    <x:row r="8" ht="68" customHeight="1">
      <x:c r="A8" s="14" t="n">
        <x:v>7</x:v>
      </x:c>
      <x:c r="B8" s="14" t="str">
        <x:v>Baselines</x:v>
      </x:c>
      <x:c r="C8" s="14" t="str">
        <x:v>Template / Nearest-Centroid Baseline</x:v>
      </x:c>
      <x:c r="D8" s="14" t="str">
        <x:v>Is there separable signal in the windows before deep learning?</x:v>
      </x:c>
      <x:c r="E8" s="14" t="str">
        <x:v>Train/eval nearest-centroid or template classifier over windows/features.</x:v>
      </x:c>
      <x:c r="F8" s="14" t="str">
        <x:v>Result note: which labels/classes are separable and which are noise.</x:v>
      </x:c>
      <x:c r="G8" s="14" t="str">
        <x:v>B2Q-mini cache.</x:v>
      </x:c>
      <x:c r="H8" s="14" t="str">
        <x:v>Mean features, templates, centroid distance.</x:v>
      </x:c>
      <x:c r="I8" s="14" t="str">
        <x:v>accuracy; CER proxy if labels map to chars; confusion table.</x:v>
      </x:c>
      <x:c r="J8" s="14" t="str">
        <x:v>Model trains in seconds and produces a baseline report.</x:v>
      </x:c>
      <x:c r="K8" s="14" t="str">
        <x:v>Not Started</x:v>
      </x:c>
      <x:c r="L8" s="14" t="str">
        <x:v>P1</x:v>
      </x:c>
      <x:c r="M8" s="14" t="str">
        <x:v>Codex</x:v>
      </x:c>
      <x:c r="N8" s="14" t="str">
        <x:v>S</x:v>
      </x:c>
      <x:c r="O8" s="14" t="str">
        <x:v>Loops 4-5</x:v>
      </x:c>
      <x:c r="P8" s="14" t="str">
        <x:v>Low</x:v>
      </x:c>
      <x:c r="Q8" s="14" t="str">
        <x:v>Build a tiny transparent classifier before any neural net. Make it boring and trustworthy.</x:v>
      </x:c>
      <x:c r="R8" s="14" t="str"/>
      <x:c r="S8" s="16" t="n">
        <x:f>IF(K8="Done",1,IF(K8="Review",0.8,IF(K8="In Progress",0.5,IF(K8="Blocked",0.2,IF(K8="Parked",0.1,0)))))</x:f>
        <x:v>0</x:v>
      </x:c>
      <x:c r="T8" s="14" t="str">
        <x:f>IF(K8="Blocked","Fix blocker",IF(K8="Review","Review/merge",IF(AND(L8="P0",K8="Not Started"),"Next candidate",IF(K8="Done","Closed","Normal"))))</x:f>
        <x:v>Normal</x:v>
      </x:c>
    </x:row>
    <x:row r="9" ht="68" customHeight="1">
      <x:c r="A9" s="14" t="n">
        <x:v>8</x:v>
      </x:c>
      <x:c r="B9" s="14" t="str">
        <x:v>Baselines</x:v>
      </x:c>
      <x:c r="C9" s="14" t="str">
        <x:v>Tiny Conv / EEGNet-style Baseline</x:v>
      </x:c>
      <x:c r="D9" s="14" t="str">
        <x:v>Can a small neural model beat transparent baselines on the tiny loop?</x:v>
      </x:c>
      <x:c r="E9" s="14" t="str">
        <x:v>Add PyTorch optional tiny ConvNet baseline with CPU-friendly defaults.</x:v>
      </x:c>
      <x:c r="F9" s="14" t="str">
        <x:v>Model card: params, training time, expected failure modes.</x:v>
      </x:c>
      <x:c r="G9" s="14" t="str">
        <x:v>B2Q-mini cache.</x:v>
      </x:c>
      <x:c r="H9" s="14" t="str">
        <x:v>Small ConvNet / EEGNet-inspired classifier.</x:v>
      </x:c>
      <x:c r="I9" s="14" t="str">
        <x:v>validation accuracy; CER/WER if sequence labels exist.</x:v>
      </x:c>
      <x:c r="J9" s="14" t="str">
        <x:v>Trains on synthetic data in CI-like smoke mode; real data path documented.</x:v>
      </x:c>
      <x:c r="K9" s="14" t="str">
        <x:v>Not Started</x:v>
      </x:c>
      <x:c r="L9" s="14" t="str">
        <x:v>P1</x:v>
      </x:c>
      <x:c r="M9" s="14" t="str">
        <x:v>Codex</x:v>
      </x:c>
      <x:c r="N9" s="14" t="str">
        <x:v>M</x:v>
      </x:c>
      <x:c r="O9" s="14" t="str">
        <x:v>Loop 7</x:v>
      </x:c>
      <x:c r="P9" s="14" t="str">
        <x:v>Medium</x:v>
      </x:c>
      <x:c r="Q9" s="14" t="str">
        <x:v>Add a tiny neural baseline without making the package heavy; optional deps and fast smoke test only.</x:v>
      </x:c>
      <x:c r="R9" s="14" t="str"/>
      <x:c r="S9" s="16" t="n">
        <x:f>IF(K9="Done",1,IF(K9="Review",0.8,IF(K9="In Progress",0.5,IF(K9="Blocked",0.2,IF(K9="Parked",0.1,0)))))</x:f>
        <x:v>0</x:v>
      </x:c>
      <x:c r="T9" s="14" t="str">
        <x:f>IF(K9="Blocked","Fix blocker",IF(K9="Review","Review/merge",IF(AND(L9="P0",K9="Not Started"),"Next candidate",IF(K9="Done","Closed","Normal"))))</x:f>
        <x:v>Normal</x:v>
      </x:c>
    </x:row>
    <x:row r="10" ht="68" customHeight="1">
      <x:c r="A10" s="14" t="n">
        <x:v>9</x:v>
      </x:c>
      <x:c r="B10" s="14" t="str">
        <x:v>Baselines</x:v>
      </x:c>
      <x:c r="C10" s="14" t="str">
        <x:v>CTC Character Decoder Scaffold</x:v>
      </x:c>
      <x:c r="D10" s="14" t="str">
        <x:v>Can we move from event labels toward sequence decoding without overbuilding?</x:v>
      </x:c>
      <x:c r="E10" s="14" t="str">
        <x:v>Add minimal CTC data interface and model scaffold; train on synthetic sequence data first.</x:v>
      </x:c>
      <x:c r="F10" s="14" t="str">
        <x:v>CTC feasibility note: what labels/timing are needed.</x:v>
      </x:c>
      <x:c r="G10" s="14" t="str">
        <x:v>Synthetic sequence cache; later real event-aligned cache.</x:v>
      </x:c>
      <x:c r="H10" s="14" t="str">
        <x:v>Tiny Conv/Transformer + CTC head scaffold.</x:v>
      </x:c>
      <x:c r="I10" s="14" t="str">
        <x:v>CER; blank-rate; alignment diagnostics.</x:v>
      </x:c>
      <x:c r="J10" s="14" t="str">
        <x:v>Synthetic CTC loop works; real-data assumptions are explicit.</x:v>
      </x:c>
      <x:c r="K10" s="14" t="str">
        <x:v>Not Started</x:v>
      </x:c>
      <x:c r="L10" s="14" t="str">
        <x:v>P1</x:v>
      </x:c>
      <x:c r="M10" s="14" t="str">
        <x:v>Codex</x:v>
      </x:c>
      <x:c r="N10" s="14" t="str">
        <x:v>M</x:v>
      </x:c>
      <x:c r="O10" s="14" t="str">
        <x:v>Loop 8</x:v>
      </x:c>
      <x:c r="P10" s="14" t="str">
        <x:v>Medium</x:v>
      </x:c>
      <x:c r="Q10" s="14" t="str">
        <x:v>Create a minimal CTC scaffold that proves the interface, not SOTA accuracy.</x:v>
      </x:c>
      <x:c r="R10" s="14" t="str"/>
      <x:c r="S10" s="16" t="n">
        <x:f>IF(K10="Done",1,IF(K10="Review",0.8,IF(K10="In Progress",0.5,IF(K10="Blocked",0.2,IF(K10="Parked",0.1,0)))))</x:f>
        <x:v>0</x:v>
      </x:c>
      <x:c r="T10" s="14" t="str">
        <x:f>IF(K10="Blocked","Fix blocker",IF(K10="Review","Review/merge",IF(AND(L10="P0",K10="Not Started"),"Next candidate",IF(K10="Done","Closed","Normal"))))</x:f>
        <x:v>Normal</x:v>
      </x:c>
    </x:row>
    <x:row r="11" ht="68" customHeight="1">
      <x:c r="A11" s="14" t="n">
        <x:v>10</x:v>
      </x:c>
      <x:c r="B11" s="14" t="str">
        <x:v>Compression</x:v>
      </x:c>
      <x:c r="C11" s="14" t="str">
        <x:v>Sampling-Rate Sweep</x:v>
      </x:c>
      <x:c r="D11" s="14" t="str">
        <x:v>How low can sampling rate go before the tiny-loop signal breaks?</x:v>
      </x:c>
      <x:c r="E11" s="14" t="str">
        <x:v>Add experiment runner for 1000/500/250/100/50 Hz or available equivalents.</x:v>
      </x:c>
      <x:c r="F11" s="14" t="str">
        <x:v>Compression curve: accuracy retained per sampling rate and GB.</x:v>
      </x:c>
      <x:c r="G11" s="14" t="str">
        <x:v>Synthetic + one real block when possible.</x:v>
      </x:c>
      <x:c r="H11" s="14" t="str">
        <x:v>Resample cache generation + baseline eval.</x:v>
      </x:c>
      <x:c r="I11" s="14" t="str">
        <x:v>accuracy retained per GB; extraction time.</x:v>
      </x:c>
      <x:c r="J11" s="14" t="str">
        <x:v>One report table compares at least 3 sampling rates.</x:v>
      </x:c>
      <x:c r="K11" s="14" t="str">
        <x:v>Not Started</x:v>
      </x:c>
      <x:c r="L11" s="14" t="str">
        <x:v>P1</x:v>
      </x:c>
      <x:c r="M11" s="14" t="str">
        <x:v>Codex</x:v>
      </x:c>
      <x:c r="N11" s="14" t="str">
        <x:v>M</x:v>
      </x:c>
      <x:c r="O11" s="14" t="str">
        <x:v>Loops 4,7</x:v>
      </x:c>
      <x:c r="P11" s="14" t="str">
        <x:v>Medium</x:v>
      </x:c>
      <x:c r="Q11" s="14" t="str">
        <x:v>Run a simple sampling-rate sweep and report accuracy/size/time tradeoffs.</x:v>
      </x:c>
      <x:c r="R11" s="14" t="str"/>
      <x:c r="S11" s="16" t="n">
        <x:f>IF(K11="Done",1,IF(K11="Review",0.8,IF(K11="In Progress",0.5,IF(K11="Blocked",0.2,IF(K11="Parked",0.1,0)))))</x:f>
        <x:v>0</x:v>
      </x:c>
      <x:c r="T11" s="14" t="str">
        <x:f>IF(K11="Blocked","Fix blocker",IF(K11="Review","Review/merge",IF(AND(L11="P0",K11="Not Started"),"Next candidate",IF(K11="Done","Closed","Normal"))))</x:f>
        <x:v>Normal</x:v>
      </x:c>
    </x:row>
    <x:row r="12" ht="68" customHeight="1">
      <x:c r="A12" s="14" t="n">
        <x:v>11</x:v>
      </x:c>
      <x:c r="B12" s="14" t="str">
        <x:v>Compression</x:v>
      </x:c>
      <x:c r="C12" s="14" t="str">
        <x:v>Channel / Sensor Subset Sweep</x:v>
      </x:c>
      <x:c r="D12" s="14" t="str">
        <x:v>How many channels are actually needed for useful signal in the tiny loop?</x:v>
      </x:c>
      <x:c r="E12" s="14" t="str">
        <x:v>Add channel-picking strategy: all, motor-ish if known, random-k, top-variance.</x:v>
      </x:c>
      <x:c r="F12" s="14" t="str">
        <x:v>Channel ablation report with caveats.</x:v>
      </x:c>
      <x:c r="G12" s="14" t="str">
        <x:v>Tiny cache with channel metadata.</x:v>
      </x:c>
      <x:c r="H12" s="14" t="str">
        <x:v>Feature/channel subset + baseline eval.</x:v>
      </x:c>
      <x:c r="I12" s="14" t="str">
        <x:v>accuracy retained per channel count; size reduction.</x:v>
      </x:c>
      <x:c r="J12" s="14" t="str">
        <x:v>At least 3 channel settings are comparable from the same split.</x:v>
      </x:c>
      <x:c r="K12" s="14" t="str">
        <x:v>Not Started</x:v>
      </x:c>
      <x:c r="L12" s="14" t="str">
        <x:v>P1</x:v>
      </x:c>
      <x:c r="M12" s="14" t="str">
        <x:v>Codex</x:v>
      </x:c>
      <x:c r="N12" s="14" t="str">
        <x:v>M</x:v>
      </x:c>
      <x:c r="O12" s="14" t="str">
        <x:v>Loop 10</x:v>
      </x:c>
      <x:c r="P12" s="14" t="str">
        <x:v>Medium</x:v>
      </x:c>
      <x:c r="Q12" s="14" t="str">
        <x:v>Implement channel subset sweeps using explicit strategies and honest caveats.</x:v>
      </x:c>
      <x:c r="R12" s="14" t="str"/>
      <x:c r="S12" s="16" t="n">
        <x:f>IF(K12="Done",1,IF(K12="Review",0.8,IF(K12="In Progress",0.5,IF(K12="Blocked",0.2,IF(K12="Parked",0.1,0)))))</x:f>
        <x:v>0</x:v>
      </x:c>
      <x:c r="T12" s="14" t="str">
        <x:f>IF(K12="Blocked","Fix blocker",IF(K12="Review","Review/merge",IF(AND(L12="P0",K12="Not Started"),"Next candidate",IF(K12="Done","Closed","Normal"))))</x:f>
        <x:v>Normal</x:v>
      </x:c>
    </x:row>
    <x:row r="13" ht="68" customHeight="1">
      <x:c r="A13" s="14" t="n">
        <x:v>12</x:v>
      </x:c>
      <x:c r="B13" s="14" t="str">
        <x:v>Compression</x:v>
      </x:c>
      <x:c r="C13" s="14" t="str">
        <x:v>Precision + Storage Sweep</x:v>
      </x:c>
      <x:c r="D13" s="14" t="str">
        <x:v>Can we shrink caches by changing representation before losing too much signal?</x:v>
      </x:c>
      <x:c r="E13" s="14" t="str">
        <x:v>Add cache writer variants: float32, float16, optional int8 quantized, compressed NPZ.</x:v>
      </x:c>
      <x:c r="F13" s="14" t="str">
        <x:v>Storage report: MB, load time, metric deltas.</x:v>
      </x:c>
      <x:c r="G13" s="14" t="str">
        <x:v>B2Q-mini cache.</x:v>
      </x:c>
      <x:c r="H13" s="14" t="str">
        <x:v>Precision and serialization variants.</x:v>
      </x:c>
      <x:c r="I13" s="14" t="str">
        <x:v>MB per minute/event; accuracy delta; load time.</x:v>
      </x:c>
      <x:c r="J13" s="14" t="str">
        <x:v>Report shows at least 3 storage variants with reproducible commands.</x:v>
      </x:c>
      <x:c r="K13" s="14" t="str">
        <x:v>Not Started</x:v>
      </x:c>
      <x:c r="L13" s="14" t="str">
        <x:v>P1</x:v>
      </x:c>
      <x:c r="M13" s="14" t="str">
        <x:v>Codex</x:v>
      </x:c>
      <x:c r="N13" s="14" t="str">
        <x:v>M</x:v>
      </x:c>
      <x:c r="O13" s="14" t="str">
        <x:v>Loop 10</x:v>
      </x:c>
      <x:c r="P13" s="14" t="str">
        <x:v>Low</x:v>
      </x:c>
      <x:c r="Q13" s="14" t="str">
        <x:v>Compare cache precision/storage formats and produce a size-versus-score report.</x:v>
      </x:c>
      <x:c r="R13" s="14" t="str"/>
      <x:c r="S13" s="16" t="n">
        <x:f>IF(K13="Done",1,IF(K13="Review",0.8,IF(K13="In Progress",0.5,IF(K13="Blocked",0.2,IF(K13="Parked",0.1,0)))))</x:f>
        <x:v>0</x:v>
      </x:c>
      <x:c r="T13" s="14" t="str">
        <x:f>IF(K13="Blocked","Fix blocker",IF(K13="Review","Review/merge",IF(AND(L13="P0",K13="Not Started"),"Next candidate",IF(K13="Done","Closed","Normal"))))</x:f>
        <x:v>Normal</x:v>
      </x:c>
    </x:row>
    <x:row r="14" ht="68" customHeight="1">
      <x:c r="A14" s="14" t="n">
        <x:v>13</x:v>
      </x:c>
      <x:c r="B14" s="14" t="str">
        <x:v>Compression</x:v>
      </x:c>
      <x:c r="C14" s="14" t="str">
        <x:v>Zarr / Lazy Cache Backend</x:v>
      </x:c>
      <x:c r="D14" s="14" t="str">
        <x:v>When NPZ becomes awkward, can we stream chunks without rewriting the whole system?</x:v>
      </x:c>
      <x:c r="E14" s="14" t="str">
        <x:v>Add optional Zarr backend behind same cache interface.</x:v>
      </x:c>
      <x:c r="F14" s="14" t="str">
        <x:v>Backend comparison note: NPZ vs Zarr for tiny/medium data.</x:v>
      </x:c>
      <x:c r="G14" s="14" t="str">
        <x:v>Synthetic + tiny cache.</x:v>
      </x:c>
      <x:c r="H14" s="14" t="str">
        <x:v>Chunked array storage; lazy loading.</x:v>
      </x:c>
      <x:c r="I14" s="14" t="str">
        <x:v>load time; random access time; file count; cache size.</x:v>
      </x:c>
      <x:c r="J14" s="14" t="str">
        <x:v>Zarr is optional; NPZ remains default; same training interface works.</x:v>
      </x:c>
      <x:c r="K14" s="14" t="str">
        <x:v>Not Started</x:v>
      </x:c>
      <x:c r="L14" s="14" t="str">
        <x:v>P2</x:v>
      </x:c>
      <x:c r="M14" s="14" t="str">
        <x:v>Codex</x:v>
      </x:c>
      <x:c r="N14" s="14" t="str">
        <x:v>M</x:v>
      </x:c>
      <x:c r="O14" s="14" t="str">
        <x:v>Loop 12</x:v>
      </x:c>
      <x:c r="P14" s="14" t="str">
        <x:v>Medium</x:v>
      </x:c>
      <x:c r="Q14" s="14" t="str">
        <x:v>Add Zarr as an optional backend only after NPZ is stable; do not break the simple path.</x:v>
      </x:c>
      <x:c r="R14" s="14" t="str"/>
      <x:c r="S14" s="16" t="n">
        <x:f>IF(K14="Done",1,IF(K14="Review",0.8,IF(K14="In Progress",0.5,IF(K14="Blocked",0.2,IF(K14="Parked",0.1,0)))))</x:f>
        <x:v>0</x:v>
      </x:c>
      <x:c r="T14" s="14" t="str">
        <x:f>IF(K14="Blocked","Fix blocker",IF(K14="Review","Review/merge",IF(AND(L14="P0",K14="Not Started"),"Next candidate",IF(K14="Done","Closed","Normal"))))</x:f>
        <x:v>Normal</x:v>
      </x:c>
    </x:row>
    <x:row r="15" ht="68" customHeight="1">
      <x:c r="A15" s="14" t="n">
        <x:v>14</x:v>
      </x:c>
      <x:c r="B15" s="14" t="str">
        <x:v>Generalization</x:v>
      </x:c>
      <x:c r="C15" s="14" t="str">
        <x:v>Split Protocol v1</x:v>
      </x:c>
      <x:c r="D15" s="14" t="str">
        <x:v>Are we accidentally evaluating on data that is too similar to training?</x:v>
      </x:c>
      <x:c r="E15" s="14" t="str">
        <x:v>Add explicit split types: event, sentence, session, subject where metadata permits.</x:v>
      </x:c>
      <x:c r="F15" s="14" t="str">
        <x:v>Evaluation protocol note and leakage checklist.</x:v>
      </x:c>
      <x:c r="G15" s="14" t="str">
        <x:v>Tiny cache + manifest metadata.</x:v>
      </x:c>
      <x:c r="H15" s="14" t="str">
        <x:v>Deterministic splits and seed tracking.</x:v>
      </x:c>
      <x:c r="I15" s="14" t="str">
        <x:v>gap between random/event/session splits.</x:v>
      </x:c>
      <x:c r="J15" s="14" t="str">
        <x:v>Every report names the split type; leakage risks are visible.</x:v>
      </x:c>
      <x:c r="K15" s="14" t="str">
        <x:v>Not Started</x:v>
      </x:c>
      <x:c r="L15" s="14" t="str">
        <x:v>P0</x:v>
      </x:c>
      <x:c r="M15" s="14" t="str">
        <x:v>Codex</x:v>
      </x:c>
      <x:c r="N15" s="14" t="str">
        <x:v>S</x:v>
      </x:c>
      <x:c r="O15" s="14" t="str">
        <x:v>Loops 4-7</x:v>
      </x:c>
      <x:c r="P15" s="14" t="str">
        <x:v>Low</x:v>
      </x:c>
      <x:c r="Q15" s="14" t="str">
        <x:v>Make split type explicit and impossible to ignore in every training/eval report.</x:v>
      </x:c>
      <x:c r="R15" s="14" t="str"/>
      <x:c r="S15" s="16" t="n">
        <x:f>IF(K15="Done",1,IF(K15="Review",0.8,IF(K15="In Progress",0.5,IF(K15="Blocked",0.2,IF(K15="Parked",0.1,0)))))</x:f>
        <x:v>0</x:v>
      </x:c>
      <x:c r="T15" s="14" t="str">
        <x:f>IF(K15="Blocked","Fix blocker",IF(K15="Review","Review/merge",IF(AND(L15="P0",K15="Not Started"),"Next candidate",IF(K15="Done","Closed","Normal"))))</x:f>
        <x:v>Next candidate</x:v>
      </x:c>
    </x:row>
    <x:row r="16" ht="68" customHeight="1">
      <x:c r="A16" s="14" t="n">
        <x:v>15</x:v>
      </x:c>
      <x:c r="B16" s="14" t="str">
        <x:v>Generalization</x:v>
      </x:c>
      <x:c r="C16" s="14" t="str">
        <x:v>Normalization + Adapter Baseline</x:v>
      </x:c>
      <x:c r="D16" s="14" t="str">
        <x:v>Can a tiny subject/session adapter improve stability without retraining everything?</x:v>
      </x:c>
      <x:c r="E16" s="14" t="str">
        <x:v>Add per-channel normalization, session normalization, and simple adapter hooks.</x:v>
      </x:c>
      <x:c r="F16" s="14" t="str">
        <x:v>Adaptation note: what changed, what stayed fixed, how many examples used.</x:v>
      </x:c>
      <x:c r="G16" s="14" t="str">
        <x:v>Two sessions/subjects if available; otherwise synthetic domain shift.</x:v>
      </x:c>
      <x:c r="H16" s="14" t="str">
        <x:v>Normalization + small adapter baseline.</x:v>
      </x:c>
      <x:c r="I16" s="14" t="str">
        <x:v>metric delta vs calibration examples.</x:v>
      </x:c>
      <x:c r="J16" s="14" t="str">
        <x:v>Synthetic domain-shift adapter works; real-data path is documented.</x:v>
      </x:c>
      <x:c r="K16" s="14" t="str">
        <x:v>Not Started</x:v>
      </x:c>
      <x:c r="L16" s="14" t="str">
        <x:v>P2</x:v>
      </x:c>
      <x:c r="M16" s="14" t="str">
        <x:v>Codex</x:v>
      </x:c>
      <x:c r="N16" s="14" t="str">
        <x:v>M</x:v>
      </x:c>
      <x:c r="O16" s="14" t="str">
        <x:v>Loop 14</x:v>
      </x:c>
      <x:c r="P16" s="14" t="str">
        <x:v>Medium</x:v>
      </x:c>
      <x:c r="Q16" s="14" t="str">
        <x:v>Implement the lightest adapter experiment possible: normalization first, learned adapter second.</x:v>
      </x:c>
      <x:c r="R16" s="14" t="str"/>
      <x:c r="S16" s="16" t="n">
        <x:f>IF(K16="Done",1,IF(K16="Review",0.8,IF(K16="In Progress",0.5,IF(K16="Blocked",0.2,IF(K16="Parked",0.1,0)))))</x:f>
        <x:v>0</x:v>
      </x:c>
      <x:c r="T16" s="14" t="str">
        <x:f>IF(K16="Blocked","Fix blocker",IF(K16="Review","Review/merge",IF(AND(L16="P0",K16="Not Started"),"Next candidate",IF(K16="Done","Closed","Normal"))))</x:f>
        <x:v>Normal</x:v>
      </x:c>
    </x:row>
    <x:row r="17" ht="68" customHeight="1">
      <x:c r="A17" s="14" t="n">
        <x:v>16</x:v>
      </x:c>
      <x:c r="B17" s="14" t="str">
        <x:v>Generalization</x:v>
      </x:c>
      <x:c r="C17" s="14" t="str">
        <x:v>Calibration Curve Study</x:v>
      </x:c>
      <x:c r="D17" s="14" t="str">
        <x:v>How many examples or minutes are needed before performance becomes useful?</x:v>
      </x:c>
      <x:c r="E17" s="14" t="str">
        <x:v>Add experiment runner varying calibration set size.</x:v>
      </x:c>
      <x:c r="F17" s="14" t="str">
        <x:v>Calibration curve report.</x:v>
      </x:c>
      <x:c r="G17" s="14" t="str">
        <x:v>At least one subject/session; synthetic fallback.</x:v>
      </x:c>
      <x:c r="H17" s="14" t="str">
        <x:v>Train/adapt with k examples and evaluate held-out.</x:v>
      </x:c>
      <x:c r="I17" s="14" t="str">
        <x:v>CER/WER or accuracy vs examples/minutes.</x:v>
      </x:c>
      <x:c r="J17" s="14" t="str">
        <x:v>Report includes 5+ calibration points or explains why not.</x:v>
      </x:c>
      <x:c r="K17" s="14" t="str">
        <x:v>Not Started</x:v>
      </x:c>
      <x:c r="L17" s="14" t="str">
        <x:v>P2</x:v>
      </x:c>
      <x:c r="M17" s="14" t="str">
        <x:v>Codex</x:v>
      </x:c>
      <x:c r="N17" s="14" t="str">
        <x:v>M</x:v>
      </x:c>
      <x:c r="O17" s="14" t="str">
        <x:v>Loop 15</x:v>
      </x:c>
      <x:c r="P17" s="14" t="str">
        <x:v>Medium</x:v>
      </x:c>
      <x:c r="Q17" s="14" t="str">
        <x:v>Create a calibration curve runner that works on synthetic data and plugs into real caches.</x:v>
      </x:c>
      <x:c r="R17" s="14" t="str"/>
      <x:c r="S17" s="16" t="n">
        <x:f>IF(K17="Done",1,IF(K17="Review",0.8,IF(K17="In Progress",0.5,IF(K17="Blocked",0.2,IF(K17="Parked",0.1,0)))))</x:f>
        <x:v>0</x:v>
      </x:c>
      <x:c r="T17" s="14" t="str">
        <x:f>IF(K17="Blocked","Fix blocker",IF(K17="Review","Review/merge",IF(AND(L17="P0",K17="Not Started"),"Next candidate",IF(K17="Done","Closed","Normal"))))</x:f>
        <x:v>Normal</x:v>
      </x:c>
    </x:row>
    <x:row r="18" ht="68" customHeight="1">
      <x:c r="A18" s="14" t="n">
        <x:v>17</x:v>
      </x:c>
      <x:c r="B18" s="14" t="str">
        <x:v>UX &amp; Reproducibility</x:v>
      </x:c>
      <x:c r="C18" s="14" t="str">
        <x:v>Gradio Demo v1</x:v>
      </x:c>
      <x:c r="D18" s="14" t="str">
        <x:v>Can a smart outsider understand the loop in 60 seconds?</x:v>
      </x:c>
      <x:c r="E18" s="14" t="str">
        <x:v>Upgrade demo to load a cache, show target/prediction, confidence, errors, and signal snippet.</x:v>
      </x:c>
      <x:c r="F18" s="14" t="str">
        <x:v>Demo script with limitations copy that avoids mind-reading claims.</x:v>
      </x:c>
      <x:c r="G18" s="14" t="str">
        <x:v>Synthetic or tiny cache.</x:v>
      </x:c>
      <x:c r="H18" s="14" t="str">
        <x:v>Interactive visualization.</x:v>
      </x:c>
      <x:c r="I18" s="14" t="str">
        <x:v>time to first demo; explanation clarity.</x:v>
      </x:c>
      <x:c r="J18" s="14" t="str">
        <x:v>Demo runs locally from one command and shows at least one example end-to-end.</x:v>
      </x:c>
      <x:c r="K18" s="14" t="str">
        <x:v>Not Started</x:v>
      </x:c>
      <x:c r="L18" s="14" t="str">
        <x:v>P1</x:v>
      </x:c>
      <x:c r="M18" s="14" t="str">
        <x:v>Codex</x:v>
      </x:c>
      <x:c r="N18" s="14" t="str">
        <x:v>M</x:v>
      </x:c>
      <x:c r="O18" s="14" t="str">
        <x:v>Loops 5-8</x:v>
      </x:c>
      <x:c r="P18" s="14" t="str">
        <x:v>Medium</x:v>
      </x:c>
      <x:c r="Q18" s="14" t="str">
        <x:v>Make a small honest demo: no hype, just signal, prediction, errors, and uncertainty.</x:v>
      </x:c>
      <x:c r="R18" s="14" t="str"/>
      <x:c r="S18" s="16" t="n">
        <x:f>IF(K18="Done",1,IF(K18="Review",0.8,IF(K18="In Progress",0.5,IF(K18="Blocked",0.2,IF(K18="Parked",0.1,0)))))</x:f>
        <x:v>0</x:v>
      </x:c>
      <x:c r="T18" s="14" t="str">
        <x:f>IF(K18="Blocked","Fix blocker",IF(K18="Review","Review/merge",IF(AND(L18="P0",K18="Not Started"),"Next candidate",IF(K18="Done","Closed","Normal"))))</x:f>
        <x:v>Normal</x:v>
      </x:c>
    </x:row>
    <x:row r="19" ht="68" customHeight="1">
      <x:c r="A19" s="14" t="n">
        <x:v>18</x:v>
      </x:c>
      <x:c r="B19" s="14" t="str">
        <x:v>UX &amp; Reproducibility</x:v>
      </x:c>
      <x:c r="C19" s="14" t="str">
        <x:v>Leaderboard + Report Cards</x:v>
      </x:c>
      <x:c r="D19" s="14" t="str">
        <x:v>Can every experiment be compared without spreadsheet archaeology?</x:v>
      </x:c>
      <x:c r="E19" s="14" t="str">
        <x:v>Add standardized run artifacts: metrics.json, config snapshot, report.md, cache metadata.</x:v>
      </x:c>
      <x:c r="F19" s="14" t="str">
        <x:v>Leaderboard schema and sample report card.</x:v>
      </x:c>
      <x:c r="G19" s="14" t="str">
        <x:v>All prior experiment outputs.</x:v>
      </x:c>
      <x:c r="H19" s="14" t="str">
        <x:v>Report generator + local leaderboard.</x:v>
      </x:c>
      <x:c r="I19" s="14" t="str">
        <x:v>runs comparable; missing metadata count.</x:v>
      </x:c>
      <x:c r="J19" s="14" t="str">
        <x:v>At least 3 baselines appear in one leaderboard table.</x:v>
      </x:c>
      <x:c r="K19" s="14" t="str">
        <x:v>Not Started</x:v>
      </x:c>
      <x:c r="L19" s="14" t="str">
        <x:v>P1</x:v>
      </x:c>
      <x:c r="M19" s="14" t="str">
        <x:v>Codex</x:v>
      </x:c>
      <x:c r="N19" s="14" t="str">
        <x:v>M</x:v>
      </x:c>
      <x:c r="O19" s="14" t="str">
        <x:v>Loops 5-8,14</x:v>
      </x:c>
      <x:c r="P19" s="14" t="str">
        <x:v>Low</x:v>
      </x:c>
      <x:c r="Q19" s="14" t="str">
        <x:v>Build the experiment report-card format and local leaderboard; make missing metadata obvious.</x:v>
      </x:c>
      <x:c r="R19" s="14" t="str"/>
      <x:c r="S19" s="16" t="n">
        <x:f>IF(K19="Done",1,IF(K19="Review",0.8,IF(K19="In Progress",0.5,IF(K19="Blocked",0.2,IF(K19="Parked",0.1,0)))))</x:f>
        <x:v>0</x:v>
      </x:c>
      <x:c r="T19" s="14" t="str">
        <x:f>IF(K19="Blocked","Fix blocker",IF(K19="Review","Review/merge",IF(AND(L19="P0",K19="Not Started"),"Next candidate",IF(K19="Done","Closed","Normal"))))</x:f>
        <x:v>Normal</x:v>
      </x:c>
    </x:row>
    <x:row r="20" ht="68" customHeight="1">
      <x:c r="A20" s="14" t="n">
        <x:v>19</x:v>
      </x:c>
      <x:c r="B20" s="14" t="str">
        <x:v>Expansion</x:v>
      </x:c>
      <x:c r="C20" s="14" t="str">
        <x:v>EEG / MOABB Bridge</x:v>
      </x:c>
      <x:c r="D20" s="14" t="str">
        <x:v>Can the same tooling support easier-to-access EEG without pretending it will match MEG?</x:v>
      </x:c>
      <x:c r="E20" s="14" t="str">
        <x:v>Add optional adapter for a small public EEG benchmark or MOABB-style dataset path.</x:v>
      </x:c>
      <x:c r="F20" s="14" t="str">
        <x:v>Comparison note: what transfers and what does not.</x:v>
      </x:c>
      <x:c r="G20" s="14" t="str">
        <x:v>Synthetic first; optional MOABB dataset.</x:v>
      </x:c>
      <x:c r="H20" s="14" t="str">
        <x:v>Dataset adapter interface.</x:v>
      </x:c>
      <x:c r="I20" s="14" t="str">
        <x:v>time to first EEG batch; baseline sanity score.</x:v>
      </x:c>
      <x:c r="J20" s="14" t="str">
        <x:v>Bridge is optional and clearly labeled exploratory.</x:v>
      </x:c>
      <x:c r="K20" s="14" t="str">
        <x:v>Not Started</x:v>
      </x:c>
      <x:c r="L20" s="14" t="str">
        <x:v>P3</x:v>
      </x:c>
      <x:c r="M20" s="14" t="str">
        <x:v>Codex</x:v>
      </x:c>
      <x:c r="N20" s="14" t="str">
        <x:v>L</x:v>
      </x:c>
      <x:c r="O20" s="14" t="str">
        <x:v>Loops 4-8 stable</x:v>
      </x:c>
      <x:c r="P20" s="14" t="str">
        <x:v>Medium</x:v>
      </x:c>
      <x:c r="Q20" s="14" t="str">
        <x:v>Explore an EEG adapter only after the core MEG loop is stable; keep claims conservative.</x:v>
      </x:c>
      <x:c r="R20" s="14" t="str"/>
      <x:c r="S20" s="16" t="n">
        <x:f>IF(K20="Done",1,IF(K20="Review",0.8,IF(K20="In Progress",0.5,IF(K20="Blocked",0.2,IF(K20="Parked",0.1,0)))))</x:f>
        <x:v>0</x:v>
      </x:c>
      <x:c r="T20" s="14" t="str">
        <x:f>IF(K20="Blocked","Fix blocker",IF(K20="Review","Review/merge",IF(AND(L20="P0",K20="Not Started"),"Next candidate",IF(K20="Done","Closed","Normal"))))</x:f>
        <x:v>Normal</x:v>
      </x:c>
    </x:row>
    <x:row r="21" ht="68" customHeight="1">
      <x:c r="A21" s="14" t="n">
        <x:v>20</x:v>
      </x:c>
      <x:c r="B21" s="14" t="str">
        <x:v>Expansion</x:v>
      </x:c>
      <x:c r="C21" s="14" t="str">
        <x:v>Neurotokens / v2-ready Interface</x:v>
      </x:c>
      <x:c r="D21" s="14" t="str">
        <x:v>Can we design a future interface for neural embeddings without depending on unreleased data?</x:v>
      </x:c>
      <x:c r="E21" s="14" t="str">
        <x:v>Add placeholder `NeuroTokenCache` interface and synthetic embedding demo.</x:v>
      </x:c>
      <x:c r="F21" s="14" t="str">
        <x:v>Architecture note: raw windows → features → neurotokens → decoder.</x:v>
      </x:c>
      <x:c r="G21" s="14" t="str">
        <x:v>Synthetic embeddings; future real embeddings.</x:v>
      </x:c>
      <x:c r="H21" s="14" t="str">
        <x:v>Feature extractor interface + mock neurotokens.</x:v>
      </x:c>
      <x:c r="I21" s="14" t="str">
        <x:v>interface stability; demo compatibility.</x:v>
      </x:c>
      <x:c r="J21" s="14" t="str">
        <x:v>No v2-data assumptions; interface can ingest embeddings later.</x:v>
      </x:c>
      <x:c r="K21" s="14" t="str">
        <x:v>Not Started</x:v>
      </x:c>
      <x:c r="L21" s="14" t="str">
        <x:v>P2</x:v>
      </x:c>
      <x:c r="M21" s="14" t="str">
        <x:v>Codex</x:v>
      </x:c>
      <x:c r="N21" s="14" t="str">
        <x:v>M</x:v>
      </x:c>
      <x:c r="O21" s="14" t="str">
        <x:v>Loops 8,13,18</x:v>
      </x:c>
      <x:c r="P21" s="14" t="str">
        <x:v>Medium</x:v>
      </x:c>
      <x:c r="Q21" s="14" t="str">
        <x:v>Design the neurotoken interface as a small abstraction, not a grand architecture rewrite.</x:v>
      </x:c>
      <x:c r="R21" s="14" t="str"/>
      <x:c r="S21" s="16" t="n">
        <x:f>IF(K21="Done",1,IF(K21="Review",0.8,IF(K21="In Progress",0.5,IF(K21="Blocked",0.2,IF(K21="Parked",0.1,0)))))</x:f>
        <x:v>0</x:v>
      </x:c>
      <x:c r="T21" s="14" t="str">
        <x:f>IF(K21="Blocked","Fix blocker",IF(K21="Review","Review/merge",IF(AND(L21="P0",K21="Not Started"),"Next candidate",IF(K21="Done","Closed","Normal"))))</x:f>
        <x:v>Normal</x:v>
      </x:c>
    </x:row>
  </x:sheetData>
  <x:conditionalFormatting sqref="K2:K200">
    <x:cfRule type="expression" dxfId="0" priority="1">
      <x:formula>K2="Blocked"</x:formula>
    </x:cfRule>
    <x:cfRule type="expression" dxfId="1" priority="2">
      <x:formula>K2="Done"</x:formula>
    </x:cfRule>
    <x:cfRule type="expression" dxfId="2" priority="3">
      <x:formula>K2="In Progress"</x:formula>
    </x:cfRule>
    <x:cfRule type="expression" dxfId="3" priority="4">
      <x:formula>K2="Review"</x:formula>
    </x:cfRule>
  </x:conditionalFormatting>
  <x:conditionalFormatting sqref="S2:S21">
    <x:cfRule type="dataBar" priority="5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{581B661A-CD74-555C-A393-DCD44A232943}</x14:id>
        </x:ext>
      </x:extLst>
    </x:cfRule>
  </x:conditionalFormatting>
  <x:dataValidations count="5">
    <x:dataValidation type="list" sqref="K2:K200">
      <x:formula1>"Not Started,In Progress,Review,Blocked,Done,Parked"</x:formula1>
    </x:dataValidation>
    <x:dataValidation type="list" sqref="L2:L200">
      <x:formula1>"P0,P1,P2,P3"</x:formula1>
    </x:dataValidation>
    <x:dataValidation type="list" sqref="M2:M200">
      <x:formula1>"Cheick,Codex,GPT,TBD"</x:formula1>
    </x:dataValidation>
    <x:dataValidation type="list" sqref="N2:N200">
      <x:formula1>"XS,S,M,L,XL"</x:formula1>
    </x:dataValidation>
    <x:dataValidation type="list" sqref="P2:P200">
      <x:formula1>"Low,Medium,High,Spike"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868de346242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581B661A-CD74-555C-A393-DCD44A232943}">
            <x14:dataBar gradient="1">
              <x14:cfvo type="min"/>
              <x14:cfvo type="max"/>
              <x14:fillColor rgb="FF1F4E78"/>
            </x14:dataBar>
          </x14:cfRule>
          <xm:sqref>S2:S21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6.380000114440918" hidden="0" customWidth="1"/>
    <x:col min="3" max="3" width="8.630000114440918" hidden="0" customWidth="1"/>
    <x:col min="4" max="4" width="40" hidden="0" customWidth="1"/>
    <x:col min="5" max="5" width="36" hidden="0" customWidth="1"/>
    <x:col min="6" max="6" width="9.25" hidden="0" customWidth="1"/>
    <x:col min="7" max="7" width="7.5" hidden="0" customWidth="1"/>
    <x:col min="8" max="8" width="10.130000114440918" hidden="0" customWidth="1"/>
    <x:col min="9" max="9" width="32" hidden="0" customWidth="1"/>
  </x:cols>
  <x:sheetData>
    <x:row r="1" ht="30" customHeight="1">
      <x:c r="A1" s="6" t="str">
        <x:v>Date</x:v>
      </x:c>
      <x:c r="B1" s="6" t="str">
        <x:v>Loop ID</x:v>
      </x:c>
      <x:c r="C1" s="6" t="str">
        <x:v>Decision</x:v>
      </x:c>
      <x:c r="D1" s="6" t="str">
        <x:v>Rationale</x:v>
      </x:c>
      <x:c r="E1" s="6" t="str">
        <x:v>Evidence / Link</x:v>
      </x:c>
      <x:c r="F1" s="6" t="str">
        <x:v>Reversible?</x:v>
      </x:c>
      <x:c r="G1" s="6" t="str">
        <x:v>Owner</x:v>
      </x:c>
      <x:c r="H1" s="6" t="str">
        <x:v>Next Review</x:v>
      </x:c>
      <x:c r="I1" s="6" t="str">
        <x:v>Notes</x:v>
      </x:c>
    </x:row>
    <x:row r="2">
      <x:c r="A2" s="37" t="str">
        <x:v>2026-06-29</x:v>
      </x:c>
      <x:c r="B2" s="12" t="n">
        <x:v>1</x:v>
      </x:c>
      <x:c r="C2" s="12" t="str">
        <x:v>Proceed</x:v>
      </x:c>
      <x:c r="D2" s="12" t="str">
        <x:v>Loop 1 synthetic smoke acceptance gate met; proceed to Loop 2.</x:v>
      </x:c>
      <x:c r="E2" s="12" t="str">
        <x:v>docs/LOOP_01_PR1_CLOSEOUT_SMOKE.md</x:v>
      </x:c>
      <x:c r="F2" s="12" t="str">
        <x:v>Yes</x:v>
      </x:c>
      <x:c r="G2" s="12" t="str">
        <x:v>Codex</x:v>
      </x:c>
      <x:c r="H2" s="12" t="str">
        <x:v>Loop 2</x:v>
      </x:c>
      <x:c r="I2" s="12" t="str"/>
    </x:row>
    <x:row r="3">
      <x:c r="A3" s="37" t="str">
        <x:v>2026-06-29</x:v>
      </x:c>
      <x:c r="B3" s="12" t="n">
        <x:v>2</x:v>
      </x:c>
      <x:c r="C3" s="12" t="str">
        <x:v>Proceed</x:v>
      </x:c>
      <x:c r="D3" s="12" t="str">
        <x:v>Manifest v1 acceptance gate met; proceed to safe tiny-shard selector.</x:v>
      </x:c>
      <x:c r="E3" s="12" t="str">
        <x:v>docs/LOOP_02_SPANISHBCBL_MANIFEST_V1.md</x:v>
      </x:c>
      <x:c r="F3" s="12" t="str">
        <x:v>Yes</x:v>
      </x:c>
      <x:c r="G3" s="12" t="str">
        <x:v>Codex</x:v>
      </x:c>
      <x:c r="H3" s="12" t="str">
        <x:v>Loop 3</x:v>
      </x:c>
      <x:c r="I3" s="12" t="str"/>
    </x:row>
    <x:row r="4">
      <x:c r="A4" s="37" t="str">
        <x:v>2026-06-29</x:v>
      </x:c>
      <x:c r="B4" s="12" t="n">
        <x:v>3</x:v>
      </x:c>
      <x:c r="C4" s="12" t="str">
        <x:v>Proceed</x:v>
      </x:c>
      <x:c r="D4" s="12" t="str">
        <x:v>Safe tiny-shard selector acceptance gate met; proceed to cache schema v0.</x:v>
      </x:c>
      <x:c r="E4" s="12" t="str">
        <x:v>docs/LOOP_03_SAFE_TINY_SHARD_SELECTOR.md</x:v>
      </x:c>
      <x:c r="F4" s="12" t="str">
        <x:v>Yes</x:v>
      </x:c>
      <x:c r="G4" s="12" t="str">
        <x:v>Codex</x:v>
      </x:c>
      <x:c r="H4" s="12" t="str">
        <x:v>Loop 4</x:v>
      </x:c>
      <x:c r="I4" s="12" t="str">
        <x:v>Download remains dry-run by default; --execute with unknown sizes requires --allow-unknown-size.</x:v>
      </x:c>
    </x:row>
    <x:row r="5">
      <x:c r="A5" s="37" t="str">
        <x:v>2026-06-29</x:v>
      </x:c>
      <x:c r="B5" s="12" t="n">
        <x:v>4</x:v>
      </x:c>
      <x:c r="C5" s="12" t="str">
        <x:v>Proceed</x:v>
      </x:c>
      <x:c r="D5" s="12" t="str">
        <x:v>Cache schema v0 acceptance gate met; proceed to metrics and error reporting.</x:v>
      </x:c>
      <x:c r="E5" s="12" t="str">
        <x:v>docs/LOOP_04_B2Q_MINI_CACHE_V0.md</x:v>
      </x:c>
      <x:c r="F5" s="12" t="str">
        <x:v>Yes</x:v>
      </x:c>
      <x:c r="G5" s="12" t="str">
        <x:v>Codex</x:v>
      </x:c>
      <x:c r="H5" s="12" t="str">
        <x:v>Loop 5</x:v>
      </x:c>
      <x:c r="I5" s="12" t="str">
        <x:v>Reports should build on load_npz_cache so synthetic and real caches share one contract.</x:v>
      </x:c>
    </x:row>
    <x:row r="6">
      <x:c r="A6" s="37" t="str">
        <x:v>2026-07-01</x:v>
      </x:c>
      <x:c r="B6" s="12" t="n">
        <x:v>5</x:v>
      </x:c>
      <x:c r="C6" s="12" t="str">
        <x:v>Proceed</x:v>
      </x:c>
      <x:c r="D6" s="12" t="str">
        <x:v>Metrics/error report v1 acceptance gate met; proceed to LM-only / prior-only baseline.</x:v>
      </x:c>
      <x:c r="E6" s="12" t="str">
        <x:v>docs/LOOP_05_METRICS_ERROR_REPORT_V1.md</x:v>
      </x:c>
      <x:c r="F6" s="12" t="str">
        <x:v>Yes</x:v>
      </x:c>
      <x:c r="G6" s="12" t="str">
        <x:v>Codex</x:v>
      </x:c>
      <x:c r="H6" s="12" t="str">
        <x:v>Loop 6</x:v>
      </x:c>
      <x:c r="I6" s="12" t="str">
        <x:v>Identity-smoke report verifies plumbing only; no neural/model performance claimed.</x:v>
      </x:c>
    </x:row>
    <x:row r="7">
      <x:c r="A7" s="37"/>
      <x:c r="B7" s="12"/>
      <x:c r="C7" s="12"/>
      <x:c r="D7" s="12"/>
      <x:c r="E7" s="12"/>
      <x:c r="F7" s="12"/>
      <x:c r="G7" s="12"/>
      <x:c r="H7" s="12"/>
      <x:c r="I7" s="12"/>
    </x:row>
    <x:row r="8">
      <x:c r="A8" s="37"/>
      <x:c r="B8" s="12"/>
      <x:c r="C8" s="12"/>
      <x:c r="D8" s="12"/>
      <x:c r="E8" s="12"/>
      <x:c r="F8" s="12"/>
      <x:c r="G8" s="12"/>
      <x:c r="H8" s="12"/>
      <x:c r="I8" s="12"/>
    </x:row>
    <x:row r="9">
      <x:c r="A9" s="37"/>
      <x:c r="B9" s="12"/>
      <x:c r="C9" s="12"/>
      <x:c r="D9" s="12"/>
      <x:c r="E9" s="12"/>
      <x:c r="F9" s="12"/>
      <x:c r="G9" s="12"/>
      <x:c r="H9" s="12"/>
      <x:c r="I9" s="12"/>
    </x:row>
    <x:row r="10">
      <x:c r="A10" s="37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37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37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37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37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37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37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37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37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37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37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37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37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37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37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37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37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37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37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37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37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37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37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37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37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37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37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37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37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37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37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37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37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37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37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37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37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37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37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37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37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37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37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37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37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37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37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37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37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37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37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37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37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37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37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37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37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37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37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37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37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37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37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37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37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37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37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37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37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37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37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37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37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37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37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37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37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37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37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37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37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37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37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37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37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37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37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37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37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37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37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37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37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37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37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37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37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37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37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37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37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37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37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37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37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37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37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37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37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37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37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37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37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37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37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37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37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37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37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37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37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37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37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37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37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37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37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37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37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37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37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37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37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37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37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37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37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37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37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37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37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37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37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37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37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37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37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37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37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37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37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37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37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37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37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37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37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37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37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37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37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37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37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37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37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37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37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37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37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37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37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37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37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37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37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37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37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37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37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37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37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37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37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37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37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37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37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37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37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37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37"/>
      <x:c r="B200" s="12"/>
      <x:c r="C200" s="12"/>
      <x:c r="D200" s="12"/>
      <x:c r="E200" s="12"/>
      <x:c r="F200" s="12"/>
      <x:c r="G200" s="12"/>
      <x:c r="H200" s="12"/>
      <x:c r="I200" s="12"/>
    </x:row>
  </x:sheetData>
  <x:dataValidations count="3">
    <x:dataValidation type="list" sqref="C2:C200">
      <x:formula1>"Proceed,Iterate,Park,Kill"</x:formula1>
    </x:dataValidation>
    <x:dataValidation type="list" sqref="F2:F200">
      <x:formula1>"Yes,No,Partially"</x:formula1>
    </x:dataValidation>
    <x:dataValidation type="list" sqref="G2:G200">
      <x:formula1>"Cheick,Codex,GPT,TBD"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f4c07f008d48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1.130000114440918" hidden="0" customWidth="1"/>
    <x:col min="3" max="3" width="38" hidden="0" customWidth="1"/>
    <x:col min="4" max="4" width="8.880000114440918" hidden="0" customWidth="1"/>
    <x:col min="5" max="5" width="8.880000114440918" hidden="0" customWidth="1"/>
    <x:col min="6" max="6" width="44" hidden="0" customWidth="1"/>
    <x:col min="7" max="7" width="36" hidden="0" customWidth="1"/>
    <x:col min="8" max="8" width="7.5" hidden="0" customWidth="1"/>
    <x:col min="9" max="9" width="9.5" hidden="0" customWidth="1"/>
  </x:cols>
  <x:sheetData>
    <x:row r="1" ht="30" customHeight="1">
      <x:c r="A1" s="6" t="str">
        <x:v>Risk ID</x:v>
      </x:c>
      <x:c r="B1" s="6" t="str">
        <x:v>Area</x:v>
      </x:c>
      <x:c r="C1" s="6" t="str">
        <x:v>Risk</x:v>
      </x:c>
      <x:c r="D1" s="6" t="str">
        <x:v>Likelihood</x:v>
      </x:c>
      <x:c r="E1" s="6" t="str">
        <x:v>Impact</x:v>
      </x:c>
      <x:c r="F1" s="6" t="str">
        <x:v>Mitigation</x:v>
      </x:c>
      <x:c r="G1" s="6" t="str">
        <x:v>Trigger</x:v>
      </x:c>
      <x:c r="H1" s="6" t="str">
        <x:v>Owner</x:v>
      </x:c>
      <x:c r="I1" s="6" t="str">
        <x:v>Status</x:v>
      </x:c>
    </x:row>
    <x:row r="2" ht="60" customHeight="1">
      <x:c r="A2" s="14" t="str">
        <x:v>R1</x:v>
      </x:c>
      <x:c r="B2" s="14" t="str">
        <x:v>Data access</x:v>
      </x:c>
      <x:c r="C2" s="14" t="str">
        <x:v>A command accidentally downloads a huge dataset slice.</x:v>
      </x:c>
      <x:c r="D2" s="14" t="str">
        <x:v>Medium</x:v>
      </x:c>
      <x:c r="E2" s="14" t="str">
        <x:v>High</x:v>
      </x:c>
      <x:c r="F2" s="14" t="str">
        <x:v>Dry-run default, max files, max total size, explicit `--execute`.</x:v>
      </x:c>
      <x:c r="G2" s="14" t="str">
        <x:v>Download plan exceeds threshold or lacks size estimate.</x:v>
      </x:c>
      <x:c r="H2" s="14" t="str">
        <x:v>Codex</x:v>
      </x:c>
      <x:c r="I2" s="14" t="str">
        <x:v>Open</x:v>
      </x:c>
    </x:row>
    <x:row r="3" ht="60" customHeight="1">
      <x:c r="A3" s="14" t="str">
        <x:v>R2</x:v>
      </x:c>
      <x:c r="B3" s="14" t="str">
        <x:v>Data quality</x:v>
      </x:c>
      <x:c r="C3" s="14" t="str">
        <x:v>Events or labels are silently misaligned with signal windows.</x:v>
      </x:c>
      <x:c r="D3" s="14" t="str">
        <x:v>Medium</x:v>
      </x:c>
      <x:c r="E3" s="14" t="str">
        <x:v>High</x:v>
      </x:c>
      <x:c r="F3" s="14" t="str">
        <x:v>Print parsed fields, dropped rows, timestamps, and confidence; add synthetic alignment tests.</x:v>
      </x:c>
      <x:c r="G3" s="14" t="str">
        <x:v>Unexpected offsets, many dropped events, or suspiciously high scores.</x:v>
      </x:c>
      <x:c r="H3" s="14" t="str">
        <x:v>Codex</x:v>
      </x:c>
      <x:c r="I3" s="14" t="str">
        <x:v>Open</x:v>
      </x:c>
    </x:row>
    <x:row r="4" ht="60" customHeight="1">
      <x:c r="A4" s="14" t="str">
        <x:v>R3</x:v>
      </x:c>
      <x:c r="B4" s="14" t="str">
        <x:v>Evaluation</x:v>
      </x:c>
      <x:c r="C4" s="14" t="str">
        <x:v>Language-only baseline explains most apparent progress.</x:v>
      </x:c>
      <x:c r="D4" s="14" t="str">
        <x:v>High</x:v>
      </x:c>
      <x:c r="E4" s="14" t="str">
        <x:v>Medium</x:v>
      </x:c>
      <x:c r="F4" s="14" t="str">
        <x:v>Run LM/prior-only baseline beside every neural result.</x:v>
      </x:c>
      <x:c r="G4" s="14" t="str">
        <x:v>Brain model barely beats prior-only baseline.</x:v>
      </x:c>
      <x:c r="H4" s="14" t="str">
        <x:v>GPT</x:v>
      </x:c>
      <x:c r="I4" s="14" t="str">
        <x:v>Watching</x:v>
      </x:c>
    </x:row>
    <x:row r="5" ht="60" customHeight="1">
      <x:c r="A5" s="14" t="str">
        <x:v>R4</x:v>
      </x:c>
      <x:c r="B5" s="14" t="str">
        <x:v>Overfitting</x:v>
      </x:c>
      <x:c r="C5" s="14" t="str">
        <x:v>Tiny loop overfits one block and looks better than it is.</x:v>
      </x:c>
      <x:c r="D5" s="14" t="str">
        <x:v>High</x:v>
      </x:c>
      <x:c r="E5" s="14" t="str">
        <x:v>Medium</x:v>
      </x:c>
      <x:c r="F5" s="14" t="str">
        <x:v>Add split protocol early; name split type in every report.</x:v>
      </x:c>
      <x:c r="G5" s="14" t="str">
        <x:v>Random split score much higher than session/subject split.</x:v>
      </x:c>
      <x:c r="H5" s="14" t="str">
        <x:v>Codex</x:v>
      </x:c>
      <x:c r="I5" s="14" t="str">
        <x:v>Open</x:v>
      </x:c>
    </x:row>
    <x:row r="6" ht="60" customHeight="1">
      <x:c r="A6" s="14" t="str">
        <x:v>R5</x:v>
      </x:c>
      <x:c r="B6" s="14" t="str">
        <x:v>Licensing</x:v>
      </x:c>
      <x:c r="C6" s="14" t="str">
        <x:v>Research dataset license is accidentally treated as commercial-ready.</x:v>
      </x:c>
      <x:c r="D6" s="14" t="str">
        <x:v>Low</x:v>
      </x:c>
      <x:c r="E6" s="14" t="str">
        <x:v>High</x:v>
      </x:c>
      <x:c r="F6" s="14" t="str">
        <x:v>Keep license notes in docs and generated metadata; avoid commercial claims.</x:v>
      </x:c>
      <x:c r="G6" s="14" t="str">
        <x:v>Repo/readme implies product or clinical use.</x:v>
      </x:c>
      <x:c r="H6" s="14" t="str">
        <x:v>Cheick</x:v>
      </x:c>
      <x:c r="I6" s="14" t="str">
        <x:v>Open</x:v>
      </x:c>
    </x:row>
    <x:row r="7" ht="60" customHeight="1">
      <x:c r="A7" s="14" t="str">
        <x:v>R6</x:v>
      </x:c>
      <x:c r="B7" s="14" t="str">
        <x:v>Dependencies</x:v>
      </x:c>
      <x:c r="C7" s="14" t="str">
        <x:v>Package becomes heavy and fragile too early.</x:v>
      </x:c>
      <x:c r="D7" s="14" t="str">
        <x:v>Medium</x:v>
      </x:c>
      <x:c r="E7" s="14" t="str">
        <x:v>Medium</x:v>
      </x:c>
      <x:c r="F7" s="14" t="str">
        <x:v>Optional extras for neuro/deep/demo dependencies; graceful import errors.</x:v>
      </x:c>
      <x:c r="G7" s="14" t="str">
        <x:v>Basic CLI import requires MNE/Torch/Gradio.</x:v>
      </x:c>
      <x:c r="H7" s="14" t="str">
        <x:v>Codex</x:v>
      </x:c>
      <x:c r="I7" s="14" t="str">
        <x:v>Open</x:v>
      </x:c>
    </x:row>
    <x:row r="8" ht="60" customHeight="1">
      <x:c r="A8" s="14" t="str">
        <x:v>R7</x:v>
      </x:c>
      <x:c r="B8" s="14" t="str">
        <x:v>Narrative</x:v>
      </x:c>
      <x:c r="C8" s="14" t="str">
        <x:v>Demo implies arbitrary thought reading rather than task-specific decoding.</x:v>
      </x:c>
      <x:c r="D8" s="14" t="str">
        <x:v>Medium</x:v>
      </x:c>
      <x:c r="E8" s="14" t="str">
        <x:v>High</x:v>
      </x:c>
      <x:c r="F8" s="14" t="str">
        <x:v>Add limitations copy and avoid clinical/mind-reading claims.</x:v>
      </x:c>
      <x:c r="G8" s="14" t="str">
        <x:v>External writeup overstates capability.</x:v>
      </x:c>
      <x:c r="H8" s="14" t="str">
        <x:v>Cheick</x:v>
      </x:c>
      <x:c r="I8" s="14" t="str">
        <x:v>Watching</x:v>
      </x:c>
    </x:row>
    <x:row r="9" ht="60" customHeight="1">
      <x:c r="A9" s="14" t="str">
        <x:v>R8</x:v>
      </x:c>
      <x:c r="B9" s="14" t="str">
        <x:v>Roadmap</x:v>
      </x:c>
      <x:c r="C9" s="14" t="str">
        <x:v>Future unreleased data assumptions distort present architecture.</x:v>
      </x:c>
      <x:c r="D9" s="14" t="str">
        <x:v>Medium</x:v>
      </x:c>
      <x:c r="E9" s="14" t="str">
        <x:v>Medium</x:v>
      </x:c>
      <x:c r="F9" s="14" t="str">
        <x:v>Use placeholder interfaces only; current loops must run on public/synthetic data.</x:v>
      </x:c>
      <x:c r="G9" s="14" t="str">
        <x:v>Implementation requires unavailable dataset.</x:v>
      </x:c>
      <x:c r="H9" s="14" t="str">
        <x:v>GPT</x:v>
      </x:c>
      <x:c r="I9" s="14" t="str">
        <x:v>Open</x:v>
      </x:c>
    </x:row>
  </x:sheetData>
  <x:dataValidations count="4">
    <x:dataValidation type="list" sqref="D2:D200">
      <x:formula1>"Low,Medium,High"</x:formula1>
    </x:dataValidation>
    <x:dataValidation type="list" sqref="E2:E200">
      <x:formula1>"Low,Medium,High"</x:formula1>
    </x:dataValidation>
    <x:dataValidation type="list" sqref="H2:H200">
      <x:formula1>"Cheick,Codex,GPT,TBD"</x:formula1>
    </x:dataValidation>
    <x:dataValidation type="list" sqref="I2:I200">
      <x:formula1>"Open,Watching,Mitigated,Closed"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deadc505b243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0" customHeight="1">
      <x:c r="A1" s="6" t="str">
        <x:v>Field</x:v>
      </x:c>
      <x:c r="B1" s="6" t="str">
        <x:v>Fill-in</x:v>
      </x:c>
    </x:row>
    <x:row r="2" ht="42" customHeight="1">
      <x:c r="A2" s="12" t="str">
        <x:v>Loop ID</x:v>
      </x:c>
      <x:c r="B2" s="12" t="str"/>
    </x:row>
    <x:row r="3" ht="42" customHeight="1">
      <x:c r="A3" s="12" t="str">
        <x:v>Hypothesis</x:v>
      </x:c>
      <x:c r="B3" s="12" t="str"/>
    </x:row>
    <x:row r="4" ht="42" customHeight="1">
      <x:c r="A4" s="12" t="str">
        <x:v>Smallest useful dataset</x:v>
      </x:c>
      <x:c r="B4" s="12" t="str"/>
    </x:row>
    <x:row r="5" ht="42" customHeight="1">
      <x:c r="A5" s="12" t="str">
        <x:v>Baseline</x:v>
      </x:c>
      <x:c r="B5" s="12" t="str"/>
    </x:row>
    <x:row r="6" ht="42" customHeight="1">
      <x:c r="A6" s="12" t="str">
        <x:v>Variant</x:v>
      </x:c>
      <x:c r="B6" s="12" t="str"/>
    </x:row>
    <x:row r="7" ht="42" customHeight="1">
      <x:c r="A7" s="12" t="str">
        <x:v>Split type</x:v>
      </x:c>
      <x:c r="B7" s="12" t="str">
        <x:v>event / sentence / session / subject</x:v>
      </x:c>
    </x:row>
    <x:row r="8" ht="42" customHeight="1">
      <x:c r="A8" s="12" t="str">
        <x:v>Primary metric</x:v>
      </x:c>
      <x:c r="B8" s="12" t="str"/>
    </x:row>
    <x:row r="9" ht="42" customHeight="1">
      <x:c r="A9" s="12" t="str">
        <x:v>Secondary metric</x:v>
      </x:c>
      <x:c r="B9" s="12" t="str"/>
    </x:row>
    <x:row r="10" ht="42" customHeight="1">
      <x:c r="A10" s="12" t="str">
        <x:v>Acceptance gate</x:v>
      </x:c>
      <x:c r="B10" s="12" t="str"/>
    </x:row>
    <x:row r="11" ht="42" customHeight="1">
      <x:c r="A11" s="12" t="str">
        <x:v>Kill / iterate / proceed rule</x:v>
      </x:c>
      <x:c r="B11" s="12" t="str"/>
    </x:row>
    <x:row r="12" ht="42" customHeight="1">
      <x:c r="A12" s="12" t="str">
        <x:v>Command(s)</x:v>
      </x:c>
      <x:c r="B12" s="12" t="str"/>
    </x:row>
    <x:row r="13" ht="42" customHeight="1">
      <x:c r="A13" s="12" t="str">
        <x:v>Result summary</x:v>
      </x:c>
      <x:c r="B13" s="12" t="str"/>
    </x:row>
    <x:row r="14" ht="42" customHeight="1">
      <x:c r="A14" s="12" t="str">
        <x:v>Decision</x:v>
      </x:c>
      <x:c r="B14" s="12" t="str"/>
    </x:row>
    <x:row r="15" ht="42" customHeight="1">
      <x:c r="A15" s="12" t="str">
        <x:v>Next loop impact</x:v>
      </x:c>
      <x:c r="B15" s="12" t="str"/>
    </x:row>
  </x:sheetData>
  <x:dataValidations count="1">
    <x:dataValidation type="list" sqref="B13">
      <x:formula1>"Proceed,Iterate,Park,Kill"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0" hidden="0" customWidth="1"/>
  </x:cols>
  <x:sheetData>
    <x:row r="1" ht="30" customHeight="1">
      <x:c r="A1" s="6" t="str">
        <x:v>Loop ID</x:v>
      </x:c>
      <x:c r="B1" s="6" t="str">
        <x:v>Loop Name</x:v>
      </x:c>
      <x:c r="C1" s="6" t="str">
        <x:v>Prompt Seed</x:v>
      </x:c>
    </x:row>
    <x:row r="2" ht="58" customHeight="1">
      <x:c r="A2" s="14" t="n">
        <x:v>1</x:v>
      </x:c>
      <x:c r="B2" s="14" t="str">
        <x:v>PR1 Closeout + Smoke Loop</x:v>
      </x:c>
      <x:c r="C2" s="14" t="str">
        <x:v>Read PR1 diff, run tests, generate one synthetic cache, then attempt real one-block extraction only if files exist.</x:v>
      </x:c>
    </x:row>
    <x:row r="3" ht="58" customHeight="1">
      <x:c r="A3" s="14" t="n">
        <x:v>2</x:v>
      </x:c>
      <x:c r="B3" s="14" t="str">
        <x:v>SpanishBCBL Manifest v1</x:v>
      </x:c>
      <x:c r="C3" s="14" t="str">
        <x:v>Harden `manifest-from-paths` and produce a manifest summary with explicit unknowns rather than guessing.</x:v>
      </x:c>
    </x:row>
    <x:row r="4" ht="58" customHeight="1">
      <x:c r="A4" s="14" t="n">
        <x:v>3</x:v>
      </x:c>
      <x:c r="B4" s="14" t="str">
        <x:v>Safe Tiny-Shard Selector</x:v>
      </x:c>
      <x:c r="C4" s="14" t="str">
        <x:v>Make the tiny selector safety-first: max bytes, max files, dry-run default, and clear planned download report.</x:v>
      </x:c>
    </x:row>
    <x:row r="5" ht="58" customHeight="1">
      <x:c r="A5" s="14" t="n">
        <x:v>4</x:v>
      </x:c>
      <x:c r="B5" s="14" t="str">
        <x:v>B2Q-mini Cache v0</x:v>
      </x:c>
      <x:c r="C5" s="14" t="str">
        <x:v>Define the first stable tiny-cache schema and add a `load-cache` smoke command or test.</x:v>
      </x:c>
    </x:row>
    <x:row r="6" ht="58" customHeight="1">
      <x:c r="A6" s="14" t="n">
        <x:v>5</x:v>
      </x:c>
      <x:c r="B6" s="14" t="str">
        <x:v>Metrics + Error Report v1</x:v>
      </x:c>
      <x:c r="C6" s="14" t="str">
        <x:v>Build a report command that turns predictions + targets into a simple JSON/Markdown scorecard.</x:v>
      </x:c>
    </x:row>
    <x:row r="7" ht="58" customHeight="1">
      <x:c r="A7" s="14" t="n">
        <x:v>6</x:v>
      </x:c>
      <x:c r="B7" s="14" t="str">
        <x:v>LM-only / Prior-only Baseline</x:v>
      </x:c>
      <x:c r="C7" s="14" t="str">
        <x:v>Implement an intentionally dumb but critical no-brain baseline and wire it into the report.</x:v>
      </x:c>
    </x:row>
    <x:row r="8" ht="58" customHeight="1">
      <x:c r="A8" s="14" t="n">
        <x:v>7</x:v>
      </x:c>
      <x:c r="B8" s="14" t="str">
        <x:v>Template / Nearest-Centroid Baseline</x:v>
      </x:c>
      <x:c r="C8" s="14" t="str">
        <x:v>Build a tiny transparent classifier before any neural net. Make it boring and trustworthy.</x:v>
      </x:c>
    </x:row>
    <x:row r="9" ht="58" customHeight="1">
      <x:c r="A9" s="14" t="n">
        <x:v>8</x:v>
      </x:c>
      <x:c r="B9" s="14" t="str">
        <x:v>Tiny Conv / EEGNet-style Baseline</x:v>
      </x:c>
      <x:c r="C9" s="14" t="str">
        <x:v>Add a tiny neural baseline without making the package heavy; optional deps and fast smoke test only.</x:v>
      </x:c>
    </x:row>
    <x:row r="10" ht="58" customHeight="1">
      <x:c r="A10" s="14" t="n">
        <x:v>9</x:v>
      </x:c>
      <x:c r="B10" s="14" t="str">
        <x:v>CTC Character Decoder Scaffold</x:v>
      </x:c>
      <x:c r="C10" s="14" t="str">
        <x:v>Create a minimal CTC scaffold that proves the interface, not SOTA accuracy.</x:v>
      </x:c>
    </x:row>
    <x:row r="11" ht="58" customHeight="1">
      <x:c r="A11" s="14" t="n">
        <x:v>10</x:v>
      </x:c>
      <x:c r="B11" s="14" t="str">
        <x:v>Sampling-Rate Sweep</x:v>
      </x:c>
      <x:c r="C11" s="14" t="str">
        <x:v>Run a simple sampling-rate sweep and report accuracy/size/time tradeoffs.</x:v>
      </x:c>
    </x:row>
    <x:row r="12" ht="58" customHeight="1">
      <x:c r="A12" s="14" t="n">
        <x:v>11</x:v>
      </x:c>
      <x:c r="B12" s="14" t="str">
        <x:v>Channel / Sensor Subset Sweep</x:v>
      </x:c>
      <x:c r="C12" s="14" t="str">
        <x:v>Implement channel subset sweeps using explicit strategies and honest caveats.</x:v>
      </x:c>
    </x:row>
    <x:row r="13" ht="58" customHeight="1">
      <x:c r="A13" s="14" t="n">
        <x:v>12</x:v>
      </x:c>
      <x:c r="B13" s="14" t="str">
        <x:v>Precision + Storage Sweep</x:v>
      </x:c>
      <x:c r="C13" s="14" t="str">
        <x:v>Compare cache precision/storage formats and produce a size-versus-score report.</x:v>
      </x:c>
    </x:row>
    <x:row r="14" ht="58" customHeight="1">
      <x:c r="A14" s="14" t="n">
        <x:v>13</x:v>
      </x:c>
      <x:c r="B14" s="14" t="str">
        <x:v>Zarr / Lazy Cache Backend</x:v>
      </x:c>
      <x:c r="C14" s="14" t="str">
        <x:v>Add Zarr as an optional backend only after NPZ is stable; do not break the simple path.</x:v>
      </x:c>
    </x:row>
    <x:row r="15" ht="58" customHeight="1">
      <x:c r="A15" s="14" t="n">
        <x:v>14</x:v>
      </x:c>
      <x:c r="B15" s="14" t="str">
        <x:v>Split Protocol v1</x:v>
      </x:c>
      <x:c r="C15" s="14" t="str">
        <x:v>Make split type explicit and impossible to ignore in every training/eval report.</x:v>
      </x:c>
    </x:row>
    <x:row r="16" ht="58" customHeight="1">
      <x:c r="A16" s="14" t="n">
        <x:v>15</x:v>
      </x:c>
      <x:c r="B16" s="14" t="str">
        <x:v>Normalization + Adapter Baseline</x:v>
      </x:c>
      <x:c r="C16" s="14" t="str">
        <x:v>Implement the lightest adapter experiment possible: normalization first, learned adapter second.</x:v>
      </x:c>
    </x:row>
    <x:row r="17" ht="58" customHeight="1">
      <x:c r="A17" s="14" t="n">
        <x:v>16</x:v>
      </x:c>
      <x:c r="B17" s="14" t="str">
        <x:v>Calibration Curve Study</x:v>
      </x:c>
      <x:c r="C17" s="14" t="str">
        <x:v>Create a calibration curve runner that works on synthetic data and plugs into real caches.</x:v>
      </x:c>
    </x:row>
    <x:row r="18" ht="58" customHeight="1">
      <x:c r="A18" s="14" t="n">
        <x:v>17</x:v>
      </x:c>
      <x:c r="B18" s="14" t="str">
        <x:v>Gradio Demo v1</x:v>
      </x:c>
      <x:c r="C18" s="14" t="str">
        <x:v>Make a small honest demo: no hype, just signal, prediction, errors, and uncertainty.</x:v>
      </x:c>
    </x:row>
    <x:row r="19" ht="58" customHeight="1">
      <x:c r="A19" s="14" t="n">
        <x:v>18</x:v>
      </x:c>
      <x:c r="B19" s="14" t="str">
        <x:v>Leaderboard + Report Cards</x:v>
      </x:c>
      <x:c r="C19" s="14" t="str">
        <x:v>Build the experiment report-card format and local leaderboard; make missing metadata obvious.</x:v>
      </x:c>
    </x:row>
    <x:row r="20" ht="58" customHeight="1">
      <x:c r="A20" s="14" t="n">
        <x:v>19</x:v>
      </x:c>
      <x:c r="B20" s="14" t="str">
        <x:v>EEG / MOABB Bridge</x:v>
      </x:c>
      <x:c r="C20" s="14" t="str">
        <x:v>Explore an EEG adapter only after the core MEG loop is stable; keep claims conservative.</x:v>
      </x:c>
    </x:row>
    <x:row r="21" ht="58" customHeight="1">
      <x:c r="A21" s="14" t="n">
        <x:v>20</x:v>
      </x:c>
      <x:c r="B21" s="14" t="str">
        <x:v>Neurotokens / v2-ready Interface</x:v>
      </x:c>
      <x:c r="C21" s="14" t="str">
        <x:v>Design the neurotoken interface as a small abstraction, not a grand architecture rewrite.</x:v>
      </x:c>
    </x:row>
  </x:sheetData>
  <x:pageMargins left="0.7" right="0.7" top="0.75" bottom="0.75" header="0.3" footer="0.3"/>
  <x:tableParts count="1">
    <x:tablePart xmlns:r="http://schemas.openxmlformats.org/officeDocument/2006/relationships" r:id="R5820f18be00d439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25" hidden="0" customWidth="1"/>
    <x:col min="3" max="3" width="5.75" hidden="0" customWidth="1"/>
    <x:col min="4" max="4" width="4.75" hidden="0" customWidth="1"/>
    <x:col min="5" max="5" width="9.130000114440918" hidden="0" customWidth="1"/>
    <x:col min="6" max="6" width="7" hidden="0" customWidth="1"/>
    <x:col min="7" max="7" width="8.380000114440918" hidden="0" customWidth="1"/>
    <x:col min="8" max="8" width="6.880000114440918" hidden="0" customWidth="1"/>
    <x:col min="9" max="9" width="8.75" hidden="0" customWidth="1"/>
  </x:cols>
  <x:sheetData>
    <x:row r="1" ht="30" customHeight="1">
      <x:c r="A1" s="6" t="str">
        <x:v>Status</x:v>
      </x:c>
      <x:c r="B1" s="6" t="str">
        <x:v>Priority</x:v>
      </x:c>
      <x:c r="C1" s="6" t="str">
        <x:v>Owner</x:v>
      </x:c>
      <x:c r="D1" s="6" t="str">
        <x:v>Effort</x:v>
      </x:c>
      <x:c r="E1" s="6" t="str">
        <x:v>Complexity</x:v>
      </x:c>
      <x:c r="F1" s="6" t="str">
        <x:v>Decision</x:v>
      </x:c>
      <x:c r="G1" s="6" t="str">
        <x:v>Likelihood</x:v>
      </x:c>
      <x:c r="H1" s="6" t="str">
        <x:v>Impact</x:v>
      </x:c>
      <x:c r="I1" s="6" t="str">
        <x:v>Risk Status</x:v>
      </x:c>
    </x:row>
    <x:row r="2">
      <x:c r="A2" t="str">
        <x:v>Not Started</x:v>
      </x:c>
      <x:c r="B2" t="str">
        <x:v>P0</x:v>
      </x:c>
      <x:c r="C2" t="str">
        <x:v>Cheick</x:v>
      </x:c>
      <x:c r="D2" t="str">
        <x:v>XS</x:v>
      </x:c>
      <x:c r="E2" t="str">
        <x:v>Low</x:v>
      </x:c>
      <x:c r="F2" t="str">
        <x:v>Proceed</x:v>
      </x:c>
      <x:c r="G2" t="str">
        <x:v>Low</x:v>
      </x:c>
      <x:c r="H2" t="str">
        <x:v>Low</x:v>
      </x:c>
      <x:c r="I2" t="str">
        <x:v>Open</x:v>
      </x:c>
    </x:row>
    <x:row r="3">
      <x:c r="A3" t="str">
        <x:v>In Progress</x:v>
      </x:c>
      <x:c r="B3" t="str">
        <x:v>P1</x:v>
      </x:c>
      <x:c r="C3" t="str">
        <x:v>Codex</x:v>
      </x:c>
      <x:c r="D3" t="str">
        <x:v>S</x:v>
      </x:c>
      <x:c r="E3" t="str">
        <x:v>Medium</x:v>
      </x:c>
      <x:c r="F3" t="str">
        <x:v>Iterate</x:v>
      </x:c>
      <x:c r="G3" t="str">
        <x:v>Medium</x:v>
      </x:c>
      <x:c r="H3" t="str">
        <x:v>Medium</x:v>
      </x:c>
      <x:c r="I3" t="str">
        <x:v>Watching</x:v>
      </x:c>
    </x:row>
    <x:row r="4">
      <x:c r="A4" t="str">
        <x:v>Review</x:v>
      </x:c>
      <x:c r="B4" t="str">
        <x:v>P2</x:v>
      </x:c>
      <x:c r="C4" t="str">
        <x:v>GPT</x:v>
      </x:c>
      <x:c r="D4" t="str">
        <x:v>M</x:v>
      </x:c>
      <x:c r="E4" t="str">
        <x:v>High</x:v>
      </x:c>
      <x:c r="F4" t="str">
        <x:v>Park</x:v>
      </x:c>
      <x:c r="G4" t="str">
        <x:v>High</x:v>
      </x:c>
      <x:c r="H4" t="str">
        <x:v>High</x:v>
      </x:c>
      <x:c r="I4" t="str">
        <x:v>Mitigated</x:v>
      </x:c>
    </x:row>
    <x:row r="5">
      <x:c r="A5" t="str">
        <x:v>Blocked</x:v>
      </x:c>
      <x:c r="B5" t="str">
        <x:v>P3</x:v>
      </x:c>
      <x:c r="C5" t="str">
        <x:v>TBD</x:v>
      </x:c>
      <x:c r="D5" t="str">
        <x:v>L</x:v>
      </x:c>
      <x:c r="E5" t="str">
        <x:v>Spike</x:v>
      </x:c>
      <x:c r="F5" t="str">
        <x:v>Kill</x:v>
      </x:c>
      <x:c r="G5" t="str"/>
      <x:c r="H5" t="str"/>
      <x:c r="I5" t="str">
        <x:v>Closed</x:v>
      </x:c>
    </x:row>
    <x:row r="6">
      <x:c r="A6" t="str">
        <x:v>Done</x:v>
      </x:c>
      <x:c r="B6" t="str"/>
      <x:c r="C6" t="str"/>
      <x:c r="D6" t="str">
        <x:v>XL</x:v>
      </x:c>
      <x:c r="E6" t="str"/>
      <x:c r="F6" t="str"/>
      <x:c r="G6" t="str"/>
      <x:c r="H6" t="str"/>
      <x:c r="I6" t="str"/>
    </x:row>
    <x:row r="7">
      <x:c r="A7" t="str">
        <x:v>Parked</x:v>
      </x:c>
      <x:c r="B7" t="str"/>
      <x:c r="C7" t="str"/>
      <x:c r="D7" t="str"/>
      <x:c r="E7" t="str"/>
      <x:c r="F7" t="str"/>
      <x:c r="G7" t="str"/>
      <x:c r="H7" t="str"/>
      <x:c r="I7" t="str"/>
    </x:row>
  </x:sheetData>
  <x:pageMargins left="0.7" right="0.7" top="0.75" bottom="0.75" header="0.3" footer="0.3"/>
</x:worksheet>
</file>