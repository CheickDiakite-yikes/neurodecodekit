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5.xml" ContentType="application/vnd.openxmlformats-officedocument.spreadsheetml.table+xml"/>
  <Override PartName="/xl/worksheets/sheet9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f7f70fc5dbd48d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db83a01b6f9c458b"/>
    <x:sheet xmlns:r="http://schemas.openxmlformats.org/officeDocument/2006/relationships" name="Loop Tracker" sheetId="2" r:id="R21c930aff0e34ffe"/>
    <x:sheet xmlns:r="http://schemas.openxmlformats.org/officeDocument/2006/relationships" name="Decision Log" sheetId="3" r:id="R36b8427d74fe444f"/>
    <x:sheet xmlns:r="http://schemas.openxmlformats.org/officeDocument/2006/relationships" name="Risk Register" sheetId="4" r:id="Rf61bf2aeecd24872"/>
    <x:sheet xmlns:r="http://schemas.openxmlformats.org/officeDocument/2006/relationships" name="Experiment Template" sheetId="5" r:id="R2e9a1283bdf44877"/>
    <x:sheet xmlns:r="http://schemas.openxmlformats.org/officeDocument/2006/relationships" name="Prompt Bank" sheetId="6" r:id="Rd7587698b16b4166"/>
    <x:sheet xmlns:r="http://schemas.openxmlformats.org/officeDocument/2006/relationships" name="Lists" sheetId="7" r:id="R443c1f83587043e2"/>
    <x:sheet xmlns:r="http://schemas.openxmlformats.org/officeDocument/2006/relationships" name="Practice Track" sheetId="8" r:id="Reb8d55f952d041a6"/>
    <x:sheet xmlns:r="http://schemas.openxmlformats.org/officeDocument/2006/relationships" name="Loops 25-44" sheetId="9" r:id="R93c91127bc154b8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%"/>
    <x:numFmt numFmtId="201" formatCode="yyyy-mm-dd"/>
    <x:numFmt numFmtId="202" formatCode="0.0%"/>
    <x:numFmt numFmtId="203" formatCode="0"/>
  </x:numFmts>
  <x:fonts count="20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sz val="11"/>
      <x:color rgb="FF7C2D12"/>
      <x:name val="Carlito"/>
    </x:font>
    <x:font>
      <x:b/>
      <x:sz val="18"/>
      <x:color rgb="FFFFFFFF"/>
      <x:name val="Carlito"/>
    </x:font>
    <x:font>
      <x:sz val="11"/>
      <x:color rgb="FF9A3412"/>
      <x:name val="Carlito"/>
    </x:font>
    <x:font>
      <x:sz val="10"/>
      <x:color rgb="FF1F2937"/>
      <x:name val="Carlito"/>
    </x:font>
    <x:font>
      <x:b/>
      <x:sz val="10"/>
      <x:color rgb="FF1F2937"/>
      <x:name val="Carlito"/>
    </x:font>
    <x:font>
      <x:b/>
      <x:sz val="10"/>
      <x:color rgb="FF1E3A8A"/>
      <x:name val="Carlito"/>
    </x:font>
    <x:font>
      <x:b/>
      <x:sz val="20"/>
      <x:color rgb="FFFFFFFF"/>
      <x:name val="Carlito"/>
    </x:font>
    <x:font>
      <x:sz val="11"/>
      <x:color rgb="FF16324F"/>
      <x:name val="Carlito"/>
    </x:font>
    <x:font>
      <x:b/>
      <x:sz val="10"/>
      <x:color rgb="FF455A64"/>
      <x:name val="Carlito"/>
    </x:font>
    <x:font>
      <x:b/>
      <x:sz val="10"/>
      <x:color rgb="FFFFFFFF"/>
      <x:name val="Carlito"/>
    </x:font>
    <x:font>
      <x:sz val="9"/>
      <x:color rgb="FF263238"/>
      <x:name val="Carlito"/>
    </x:font>
    <x:font>
      <x:b/>
      <x:sz val="11"/>
      <x:color rgb="FF16324F"/>
      <x:name val="Carlito"/>
    </x:font>
    <x:font>
      <x:b/>
      <x:sz val="9"/>
      <x:color rgb="FF276A73"/>
      <x:name val="Carlito"/>
    </x:font>
    <x:font>
      <x:b/>
      <x:sz val="9"/>
      <x:color rgb="FF8A4B08"/>
      <x:name val="Carlito"/>
    </x:font>
    <x:font>
      <x:sz val="9"/>
      <x:color rgb="FF6D4C00"/>
      <x:name val="Carlito"/>
    </x:font>
    <x:font>
      <x:b/>
      <x:sz val="9"/>
      <x:color rgb="FF7A1F1F"/>
      <x:name val="Carlito"/>
    </x:font>
    <x:font>
      <x:sz val="8"/>
      <x:color rgb="FF245C8A"/>
      <x:name val="Carlito"/>
    </x:font>
  </x:fonts>
  <x:fills count="24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111827"/>
      </x:patternFill>
    </x:fill>
    <x:fill>
      <x:patternFill patternType="solid">
        <x:fgColor rgb="FFFFF7ED"/>
      </x:patternFill>
    </x:fill>
    <x:fill>
      <x:patternFill patternType="solid">
        <x:fgColor rgb="FF111827"/>
      </x:patternFill>
    </x:fill>
    <x:fill>
      <x:patternFill patternType="solid">
        <x:fgColor rgb="FFFFF4E8"/>
      </x:patternFill>
    </x:fill>
    <x:fill>
      <x:patternFill patternType="solid">
        <x:fgColor rgb="FF245B85"/>
      </x:patternFill>
    </x:fill>
    <x:fill>
      <x:patternFill patternType="solid">
        <x:fgColor rgb="FFD9EEF7"/>
      </x:patternFill>
    </x:fill>
    <x:fill>
      <x:patternFill patternType="solid">
        <x:fgColor rgb="FFFFFFFF"/>
      </x:patternFill>
    </x:fill>
    <x:fill>
      <x:patternFill patternType="solid">
        <x:fgColor rgb="FFD1FAE5"/>
      </x:patternFill>
    </x:fill>
    <x:fill>
      <x:patternFill patternType="solid">
        <x:fgColor rgb="FFFEF3C7"/>
      </x:patternFill>
    </x:fill>
    <x:fill>
      <x:patternFill patternType="solid">
        <x:fgColor rgb="FFFECACA"/>
      </x:patternFill>
    </x:fill>
    <x:fill>
      <x:patternFill patternType="solid">
        <x:fgColor rgb="FFD1FAE5"/>
      </x:patternFill>
    </x:fill>
    <x:fill>
      <x:patternFill patternType="solid">
        <x:fgColor rgb="FFFEF3C7"/>
      </x:patternFill>
    </x:fill>
    <x:fill>
      <x:patternFill patternType="solid">
        <x:fgColor rgb="FFD1FAE5"/>
      </x:patternFill>
    </x:fill>
    <x:fill>
      <x:patternFill patternType="solid">
        <x:fgColor rgb="FFDBEAFE"/>
      </x:patternFill>
    </x:fill>
    <x:fill>
      <x:patternFill patternType="solid">
        <x:fgColor rgb="FFDBEAFE"/>
      </x:patternFill>
    </x:fill>
    <x:fill>
      <x:patternFill patternType="solid">
        <x:fgColor rgb="FF16324F"/>
      </x:patternFill>
    </x:fill>
    <x:fill>
      <x:patternFill patternType="solid">
        <x:fgColor rgb="FFDCEAF3"/>
      </x:patternFill>
    </x:fill>
    <x:fill>
      <x:patternFill patternType="solid">
        <x:fgColor rgb="FFF2F5F7"/>
      </x:patternFill>
    </x:fill>
    <x:fill>
      <x:patternFill patternType="solid">
        <x:fgColor rgb="FF276A73"/>
      </x:patternFill>
    </x:fill>
    <x:fill>
      <x:patternFill patternType="solid">
        <x:fgColor rgb="FFE8F2F1"/>
      </x:patternFill>
    </x:fill>
    <x:fill>
      <x:patternFill patternType="solid">
        <x:fgColor rgb="FFFFF4D6"/>
      </x:patternFill>
    </x:fill>
  </x:fills>
  <x:borders count="10">
    <x:border/>
    <x:border/>
    <x:border>
      <x:left style="thin">
        <x:color rgb="FFD1D5DB"/>
      </x:left>
      <x:right style="thin">
        <x:color rgb="FFD1D5DB"/>
      </x:right>
      <x:top style="thin">
        <x:color rgb="FFD1D5DB"/>
      </x:top>
      <x:bottom style="thin">
        <x:color rgb="FFD1D5DB"/>
      </x:bottom>
    </x:border>
    <x:border>
      <x:bottom style="thin">
        <x:color rgb="FFD1D5DB"/>
      </x:bottom>
    </x:border>
    <x:border>
      <x:left style="thin">
        <x:color rgb="FFB0BEC5"/>
      </x:left>
      <x:top style="thin">
        <x:color rgb="FFB0BEC5"/>
      </x:top>
      <x:bottom style="thin">
        <x:color rgb="FFB0BEC5"/>
      </x:bottom>
    </x:border>
    <x:border>
      <x:top style="thin">
        <x:color rgb="FFB0BEC5"/>
      </x:top>
      <x:bottom style="thin">
        <x:color rgb="FFB0BEC5"/>
      </x:bottom>
    </x:border>
    <x:border>
      <x:right style="thin">
        <x:color rgb="FFB0BEC5"/>
      </x:right>
      <x:top style="thin">
        <x:color rgb="FFB0BEC5"/>
      </x:top>
      <x:bottom style="thin">
        <x:color rgb="FFB0BEC5"/>
      </x:bottom>
    </x:border>
    <x:border>
      <x:bottom style="thin">
        <x:color rgb="FFD9E1E5"/>
      </x:bottom>
    </x:border>
    <x:border>
      <x:top style="thin">
        <x:color rgb="FFD9E1E5"/>
      </x:top>
      <x:bottom style="thin">
        <x:color rgb="FFD9E1E5"/>
      </x:bottom>
    </x:border>
    <x:border>
      <x:top style="thin">
        <x:color rgb="FFD9E1E5"/>
      </x:top>
    </x:border>
  </x:borders>
  <x:cellStyleXfs count="1">
    <x:xf numFmtId="0" fontId="0" fillId="0" borderId="0"/>
  </x:cellStyleXfs>
  <x:cellXfs count="153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left"/>
    </x:xf>
    <x:xf numFmtId="0" fontId="2" fillId="3" borderId="0" xfId="0" applyNumberFormat="1" applyFont="1" applyFill="1" applyBorder="1" applyAlignment="1">
      <x:alignment horizontal="left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left"/>
    </x:xf>
    <x:xf numFmtId="0" fontId="2" fillId="3" borderId="1" xfId="0" applyNumberFormat="1" applyFont="1" applyFill="1" applyBorder="1" applyAlignment="1">
      <x:alignment horizontal="left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0" xfId="0" applyNumberFormat="1" applyFont="1" applyFill="1" applyBorder="1"/>
    <x:xf numFmtId="201" fontId="0" fillId="0" borderId="0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 applyAlignment="1">
      <x:alignment vertical="top" wrapText="1"/>
    </x:xf>
    <x:xf numFmtId="202" fontId="0" fillId="0" borderId="0" xfId="0" applyNumberFormat="1" applyFont="1" applyFill="1" applyBorder="1"/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vertical="center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1" fillId="7" borderId="2" xfId="0" applyNumberFormat="1" applyFont="1" applyFill="1" applyBorder="1" applyAlignment="1">
      <x:alignment wrapText="1"/>
    </x:xf>
    <x:xf numFmtId="0" fontId="1" fillId="7" borderId="2" xfId="0" applyNumberFormat="1" applyFont="1" applyFill="1" applyBorder="1" applyAlignment="1">
      <x:alignment horizontal="center" wrapText="1"/>
    </x:xf>
    <x:xf numFmtId="0" fontId="1" fillId="7" borderId="2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wrapText="1"/>
    </x:xf>
    <x:xf numFmtId="0" fontId="6" fillId="8" borderId="3" xfId="0" applyNumberFormat="1" applyFont="1" applyFill="1" applyBorder="1" applyAlignment="1">
      <x:alignment wrapText="1"/>
    </x:xf>
    <x:xf numFmtId="0" fontId="6" fillId="8" borderId="3" xfId="0" applyNumberFormat="1" applyFont="1" applyFill="1" applyBorder="1" applyAlignment="1">
      <x:alignment vertical="top" wrapText="1"/>
    </x:xf>
    <x:xf numFmtId="0" fontId="0" fillId="9" borderId="0" xfId="0" applyNumberFormat="1" applyFont="1" applyFill="1" applyBorder="1" applyAlignment="1">
      <x:alignment wrapText="1"/>
    </x:xf>
    <x:xf numFmtId="0" fontId="6" fillId="9" borderId="0" xfId="0" applyNumberFormat="1" applyFont="1" applyFill="1" applyBorder="1" applyAlignment="1">
      <x:alignment wrapText="1"/>
    </x:xf>
    <x:xf numFmtId="0" fontId="6" fillId="9" borderId="3" xfId="0" applyNumberFormat="1" applyFont="1" applyFill="1" applyBorder="1" applyAlignment="1">
      <x:alignment wrapText="1"/>
    </x:xf>
    <x:xf numFmtId="0" fontId="6" fillId="9" borderId="3" xfId="0" applyNumberFormat="1" applyFont="1" applyFill="1" applyBorder="1" applyAlignment="1">
      <x:alignment vertical="top" wrapText="1"/>
    </x:xf>
    <x:xf numFmtId="0" fontId="6" fillId="10" borderId="3" xfId="0" applyNumberFormat="1" applyFont="1" applyFill="1" applyBorder="1" applyAlignment="1">
      <x:alignment vertical="top" wrapText="1"/>
    </x:xf>
    <x:xf numFmtId="0" fontId="6" fillId="11" borderId="3" xfId="0" applyNumberFormat="1" applyFont="1" applyFill="1" applyBorder="1" applyAlignment="1">
      <x:alignment vertical="top" wrapText="1"/>
    </x:xf>
    <x:xf numFmtId="0" fontId="6" fillId="12" borderId="3" xfId="0" applyNumberFormat="1" applyFont="1" applyFill="1" applyBorder="1" applyAlignment="1">
      <x:alignment vertical="top" wrapText="1"/>
    </x:xf>
    <x:xf numFmtId="0" fontId="7" fillId="10" borderId="3" xfId="0" applyNumberFormat="1" applyFont="1" applyFill="1" applyBorder="1" applyAlignment="1">
      <x:alignment vertical="top" wrapText="1"/>
    </x:xf>
    <x:xf numFmtId="0" fontId="7" fillId="11" borderId="3" xfId="0" applyNumberFormat="1" applyFont="1" applyFill="1" applyBorder="1" applyAlignment="1">
      <x:alignment vertical="top" wrapText="1"/>
    </x:xf>
    <x:xf numFmtId="0" fontId="7" fillId="8" borderId="3" xfId="0" applyNumberFormat="1" applyFont="1" applyFill="1" applyBorder="1" applyAlignment="1">
      <x:alignment vertical="top" wrapText="1"/>
    </x:xf>
    <x:xf numFmtId="0" fontId="7" fillId="9" borderId="3" xfId="0" applyNumberFormat="1" applyFont="1" applyFill="1" applyBorder="1" applyAlignment="1">
      <x:alignment vertical="top" wrapText="1"/>
    </x:xf>
    <x:xf numFmtId="0" fontId="7" fillId="12" borderId="3" xfId="0" applyNumberFormat="1" applyFont="1" applyFill="1" applyBorder="1" applyAlignment="1">
      <x:alignment vertical="top" wrapText="1"/>
    </x:xf>
    <x:xf numFmtId="0" fontId="7" fillId="13" borderId="3" xfId="0" applyNumberFormat="1" applyFont="1" applyFill="1" applyBorder="1" applyAlignment="1">
      <x:alignment vertical="top" wrapText="1"/>
    </x:xf>
    <x:xf numFmtId="0" fontId="7" fillId="14" borderId="3" xfId="0" applyNumberFormat="1" applyFont="1" applyFill="1" applyBorder="1" applyAlignment="1">
      <x:alignment vertical="top" wrapText="1"/>
    </x:xf>
    <x:xf numFmtId="0" fontId="7" fillId="15" borderId="3" xfId="0" applyNumberFormat="1" applyFont="1" applyFill="1" applyBorder="1" applyAlignment="1">
      <x:alignment vertical="top" wrapText="1"/>
    </x:xf>
    <x:xf numFmtId="0" fontId="7" fillId="15" borderId="3" xfId="0" applyNumberFormat="1" applyFont="1" applyFill="1" applyBorder="1" applyAlignment="1">
      <x:alignment horizontal="general" vertical="top" wrapText="1"/>
    </x:xf>
    <x:xf numFmtId="0" fontId="7" fillId="16" borderId="3" xfId="0" applyNumberFormat="1" applyFont="1" applyFill="1" applyBorder="1" applyAlignment="1">
      <x:alignment vertical="top" wrapText="1"/>
    </x:xf>
    <x:xf numFmtId="0" fontId="8" fillId="16" borderId="3" xfId="0" applyNumberFormat="1" applyFont="1" applyFill="1" applyBorder="1" applyAlignment="1">
      <x:alignment vertical="top" wrapText="1"/>
    </x:xf>
    <x:xf numFmtId="0" fontId="8" fillId="16" borderId="3" xfId="0" applyNumberFormat="1" applyFont="1" applyFill="1" applyBorder="1" applyAlignment="1">
      <x:alignment horizontal="general" vertical="top" wrapText="1"/>
    </x:xf>
    <x:xf numFmtId="0" fontId="8" fillId="17" borderId="3" xfId="0" applyNumberFormat="1" applyFont="1" applyFill="1" applyBorder="1" applyAlignment="1">
      <x:alignment horizontal="general" vertical="top" wrapText="1"/>
    </x:xf>
    <x:xf numFmtId="0" fontId="0" fillId="18" borderId="0" xfId="0" applyNumberFormat="1" applyFont="1" applyFill="1" applyBorder="1"/>
    <x:xf numFmtId="0" fontId="9" fillId="18" borderId="0" xfId="0" applyNumberFormat="1" applyFont="1" applyFill="1" applyBorder="1"/>
    <x:xf numFmtId="0" fontId="9" fillId="18" borderId="0" xfId="0" applyNumberFormat="1" applyFont="1" applyFill="1" applyBorder="1" applyAlignment="1">
      <x:alignment horizontal="left"/>
    </x:xf>
    <x:xf numFmtId="0" fontId="9" fillId="18" borderId="0" xfId="0" applyNumberFormat="1" applyFont="1" applyFill="1" applyBorder="1" applyAlignment="1">
      <x:alignment horizontal="left" vertical="center"/>
    </x:xf>
    <x:xf numFmtId="0" fontId="0" fillId="19" borderId="0" xfId="0" applyNumberFormat="1" applyFont="1" applyFill="1" applyBorder="1"/>
    <x:xf numFmtId="0" fontId="10" fillId="19" borderId="0" xfId="0" applyNumberFormat="1" applyFont="1" applyFill="1" applyBorder="1"/>
    <x:xf numFmtId="0" fontId="10" fillId="19" borderId="0" xfId="0" applyNumberFormat="1" applyFont="1" applyFill="1" applyBorder="1" applyAlignment="1">
      <x:alignment wrapText="1"/>
    </x:xf>
    <x:xf numFmtId="0" fontId="10" fillId="19" borderId="0" xfId="0" applyNumberFormat="1" applyFont="1" applyFill="1" applyBorder="1" applyAlignment="1">
      <x:alignment horizontal="left" wrapText="1"/>
    </x:xf>
    <x:xf numFmtId="0" fontId="10" fillId="19" borderId="0" xfId="0" applyNumberFormat="1" applyFont="1" applyFill="1" applyBorder="1" applyAlignment="1">
      <x:alignment horizontal="left" vertical="center" wrapText="1"/>
    </x:xf>
    <x:xf numFmtId="0" fontId="0" fillId="20" borderId="0" xfId="0" applyNumberFormat="1" applyFont="1" applyFill="1" applyBorder="1"/>
    <x:xf numFmtId="0" fontId="11" fillId="20" borderId="0" xfId="0" applyNumberFormat="1" applyFont="1" applyFill="1" applyBorder="1"/>
    <x:xf numFmtId="0" fontId="11" fillId="20" borderId="4" xfId="0" applyNumberFormat="1" applyFont="1" applyFill="1" applyBorder="1"/>
    <x:xf numFmtId="0" fontId="11" fillId="20" borderId="5" xfId="0" applyNumberFormat="1" applyFont="1" applyFill="1" applyBorder="1"/>
    <x:xf numFmtId="0" fontId="11" fillId="20" borderId="6" xfId="0" applyNumberFormat="1" applyFont="1" applyFill="1" applyBorder="1"/>
    <x:xf numFmtId="0" fontId="11" fillId="20" borderId="4" xfId="0" applyNumberFormat="1" applyFont="1" applyFill="1" applyBorder="1" applyAlignment="1">
      <x:alignment wrapText="1"/>
    </x:xf>
    <x:xf numFmtId="0" fontId="11" fillId="20" borderId="5" xfId="0" applyNumberFormat="1" applyFont="1" applyFill="1" applyBorder="1" applyAlignment="1">
      <x:alignment wrapText="1"/>
    </x:xf>
    <x:xf numFmtId="0" fontId="11" fillId="20" borderId="6" xfId="0" applyNumberFormat="1" applyFont="1" applyFill="1" applyBorder="1" applyAlignment="1">
      <x:alignment wrapText="1"/>
    </x:xf>
    <x:xf numFmtId="0" fontId="11" fillId="20" borderId="4" xfId="0" applyNumberFormat="1" applyFont="1" applyFill="1" applyBorder="1" applyAlignment="1">
      <x:alignment horizontal="left" wrapText="1"/>
    </x:xf>
    <x:xf numFmtId="0" fontId="11" fillId="20" borderId="5" xfId="0" applyNumberFormat="1" applyFont="1" applyFill="1" applyBorder="1" applyAlignment="1">
      <x:alignment horizontal="left" wrapText="1"/>
    </x:xf>
    <x:xf numFmtId="0" fontId="11" fillId="20" borderId="6" xfId="0" applyNumberFormat="1" applyFont="1" applyFill="1" applyBorder="1" applyAlignment="1">
      <x:alignment horizontal="left" wrapText="1"/>
    </x:xf>
    <x:xf numFmtId="0" fontId="11" fillId="20" borderId="4" xfId="0" applyNumberFormat="1" applyFont="1" applyFill="1" applyBorder="1" applyAlignment="1">
      <x:alignment horizontal="left" vertical="center" wrapText="1"/>
    </x:xf>
    <x:xf numFmtId="0" fontId="11" fillId="20" borderId="5" xfId="0" applyNumberFormat="1" applyFont="1" applyFill="1" applyBorder="1" applyAlignment="1">
      <x:alignment horizontal="left" vertical="center" wrapText="1"/>
    </x:xf>
    <x:xf numFmtId="0" fontId="11" fillId="20" borderId="6" xfId="0" applyNumberFormat="1" applyFont="1" applyFill="1" applyBorder="1" applyAlignment="1">
      <x:alignment horizontal="left" vertical="center" wrapText="1"/>
    </x:xf>
    <x:xf numFmtId="0" fontId="0" fillId="21" borderId="0" xfId="0" applyNumberFormat="1" applyFont="1" applyFill="1" applyBorder="1"/>
    <x:xf numFmtId="0" fontId="12" fillId="21" borderId="0" xfId="0" applyNumberFormat="1" applyFont="1" applyFill="1" applyBorder="1"/>
    <x:xf numFmtId="0" fontId="12" fillId="21" borderId="0" xfId="0" applyNumberFormat="1" applyFont="1" applyFill="1" applyBorder="1" applyAlignment="1">
      <x:alignment wrapText="1"/>
    </x:xf>
    <x:xf numFmtId="0" fontId="12" fillId="21" borderId="0" xfId="0" applyNumberFormat="1" applyFont="1" applyFill="1" applyBorder="1" applyAlignment="1">
      <x:alignment horizontal="left" wrapText="1"/>
    </x:xf>
    <x:xf numFmtId="0" fontId="12" fillId="21" borderId="0" xfId="0" applyNumberFormat="1" applyFont="1" applyFill="1" applyBorder="1" applyAlignment="1">
      <x:alignment horizontal="left" vertical="center" wrapText="1"/>
    </x:xf>
    <x:xf numFmtId="0" fontId="13" fillId="0" borderId="0" xfId="0" applyNumberFormat="1" applyFont="1" applyFill="1" applyBorder="1"/>
    <x:xf numFmtId="0" fontId="13" fillId="0" borderId="7" xfId="0" applyNumberFormat="1" applyFont="1" applyFill="1" applyBorder="1"/>
    <x:xf numFmtId="0" fontId="13" fillId="0" borderId="8" xfId="0" applyNumberFormat="1" applyFont="1" applyFill="1" applyBorder="1"/>
    <x:xf numFmtId="0" fontId="13" fillId="0" borderId="9" xfId="0" applyNumberFormat="1" applyFont="1" applyFill="1" applyBorder="1"/>
    <x:xf numFmtId="0" fontId="13" fillId="0" borderId="7" xfId="0" applyNumberFormat="1" applyFont="1" applyFill="1" applyBorder="1" applyAlignment="1">
      <x:alignment wrapText="1"/>
    </x:xf>
    <x:xf numFmtId="0" fontId="13" fillId="0" borderId="8" xfId="0" applyNumberFormat="1" applyFont="1" applyFill="1" applyBorder="1" applyAlignment="1">
      <x:alignment wrapText="1"/>
    </x:xf>
    <x:xf numFmtId="0" fontId="13" fillId="0" borderId="9" xfId="0" applyNumberFormat="1" applyFont="1" applyFill="1" applyBorder="1" applyAlignment="1">
      <x:alignment wrapText="1"/>
    </x:xf>
    <x:xf numFmtId="0" fontId="13" fillId="0" borderId="7" xfId="0" applyNumberFormat="1" applyFont="1" applyFill="1" applyBorder="1" applyAlignment="1">
      <x:alignment vertical="top" wrapText="1"/>
    </x:xf>
    <x:xf numFmtId="0" fontId="13" fillId="0" borderId="8" xfId="0" applyNumberFormat="1" applyFont="1" applyFill="1" applyBorder="1" applyAlignment="1">
      <x:alignment vertical="top" wrapText="1"/>
    </x:xf>
    <x:xf numFmtId="0" fontId="13" fillId="0" borderId="9" xfId="0" applyNumberFormat="1" applyFont="1" applyFill="1" applyBorder="1" applyAlignment="1">
      <x:alignment vertical="top" wrapText="1"/>
    </x:xf>
    <x:xf numFmtId="0" fontId="13" fillId="22" borderId="7" xfId="0" applyNumberFormat="1" applyFont="1" applyFill="1" applyBorder="1" applyAlignment="1">
      <x:alignment vertical="top" wrapText="1"/>
    </x:xf>
    <x:xf numFmtId="0" fontId="13" fillId="22" borderId="8" xfId="0" applyNumberFormat="1" applyFont="1" applyFill="1" applyBorder="1" applyAlignment="1">
      <x:alignment vertical="top" wrapText="1"/>
    </x:xf>
    <x:xf numFmtId="0" fontId="13" fillId="22" borderId="9" xfId="0" applyNumberFormat="1" applyFont="1" applyFill="1" applyBorder="1" applyAlignment="1">
      <x:alignment vertical="top" wrapText="1"/>
    </x:xf>
    <x:xf numFmtId="0" fontId="14" fillId="22" borderId="7" xfId="0" applyNumberFormat="1" applyFont="1" applyFill="1" applyBorder="1" applyAlignment="1">
      <x:alignment vertical="top" wrapText="1"/>
    </x:xf>
    <x:xf numFmtId="0" fontId="14" fillId="22" borderId="8" xfId="0" applyNumberFormat="1" applyFont="1" applyFill="1" applyBorder="1" applyAlignment="1">
      <x:alignment vertical="top" wrapText="1"/>
    </x:xf>
    <x:xf numFmtId="0" fontId="14" fillId="22" borderId="9" xfId="0" applyNumberFormat="1" applyFont="1" applyFill="1" applyBorder="1" applyAlignment="1">
      <x:alignment vertical="top" wrapText="1"/>
    </x:xf>
    <x:xf numFmtId="203" fontId="14" fillId="22" borderId="7" xfId="0" applyNumberFormat="1" applyFont="1" applyFill="1" applyBorder="1" applyAlignment="1">
      <x:alignment vertical="top" wrapText="1"/>
    </x:xf>
    <x:xf numFmtId="203" fontId="14" fillId="22" borderId="8" xfId="0" applyNumberFormat="1" applyFont="1" applyFill="1" applyBorder="1" applyAlignment="1">
      <x:alignment vertical="top" wrapText="1"/>
    </x:xf>
    <x:xf numFmtId="203" fontId="14" fillId="22" borderId="9" xfId="0" applyNumberFormat="1" applyFont="1" applyFill="1" applyBorder="1" applyAlignment="1">
      <x:alignment vertical="top" wrapText="1"/>
    </x:xf>
    <x:xf numFmtId="203" fontId="14" fillId="22" borderId="7" xfId="0" applyNumberFormat="1" applyFont="1" applyFill="1" applyBorder="1" applyAlignment="1">
      <x:alignment horizontal="center" vertical="top" wrapText="1"/>
    </x:xf>
    <x:xf numFmtId="203" fontId="14" fillId="22" borderId="8" xfId="0" applyNumberFormat="1" applyFont="1" applyFill="1" applyBorder="1" applyAlignment="1">
      <x:alignment horizontal="center" vertical="top" wrapText="1"/>
    </x:xf>
    <x:xf numFmtId="203" fontId="14" fillId="22" borderId="9" xfId="0" applyNumberFormat="1" applyFont="1" applyFill="1" applyBorder="1" applyAlignment="1">
      <x:alignment horizontal="center" vertical="top" wrapText="1"/>
    </x:xf>
    <x:xf numFmtId="0" fontId="15" fillId="0" borderId="7" xfId="0" applyNumberFormat="1" applyFont="1" applyFill="1" applyBorder="1" applyAlignment="1">
      <x:alignment vertical="top" wrapText="1"/>
    </x:xf>
    <x:xf numFmtId="0" fontId="15" fillId="0" borderId="8" xfId="0" applyNumberFormat="1" applyFont="1" applyFill="1" applyBorder="1" applyAlignment="1">
      <x:alignment vertical="top" wrapText="1"/>
    </x:xf>
    <x:xf numFmtId="0" fontId="15" fillId="0" borderId="9" xfId="0" applyNumberFormat="1" applyFont="1" applyFill="1" applyBorder="1" applyAlignment="1">
      <x:alignment vertical="top" wrapText="1"/>
    </x:xf>
    <x:xf numFmtId="0" fontId="16" fillId="0" borderId="7" xfId="0" applyNumberFormat="1" applyFont="1" applyFill="1" applyBorder="1" applyAlignment="1">
      <x:alignment vertical="top" wrapText="1"/>
    </x:xf>
    <x:xf numFmtId="0" fontId="16" fillId="0" borderId="8" xfId="0" applyNumberFormat="1" applyFont="1" applyFill="1" applyBorder="1" applyAlignment="1">
      <x:alignment vertical="top" wrapText="1"/>
    </x:xf>
    <x:xf numFmtId="0" fontId="16" fillId="0" borderId="9" xfId="0" applyNumberFormat="1" applyFont="1" applyFill="1" applyBorder="1" applyAlignment="1">
      <x:alignment vertical="top" wrapText="1"/>
    </x:xf>
    <x:xf numFmtId="0" fontId="16" fillId="0" borderId="7" xfId="0" applyNumberFormat="1" applyFont="1" applyFill="1" applyBorder="1" applyAlignment="1">
      <x:alignment horizontal="center" vertical="top" wrapText="1"/>
    </x:xf>
    <x:xf numFmtId="0" fontId="16" fillId="0" borderId="8" xfId="0" applyNumberFormat="1" applyFont="1" applyFill="1" applyBorder="1" applyAlignment="1">
      <x:alignment horizontal="center" vertical="top" wrapText="1"/>
    </x:xf>
    <x:xf numFmtId="0" fontId="16" fillId="0" borderId="9" xfId="0" applyNumberFormat="1" applyFont="1" applyFill="1" applyBorder="1" applyAlignment="1">
      <x:alignment horizontal="center" vertical="top" wrapText="1"/>
    </x:xf>
    <x:xf numFmtId="0" fontId="13" fillId="23" borderId="7" xfId="0" applyNumberFormat="1" applyFont="1" applyFill="1" applyBorder="1" applyAlignment="1">
      <x:alignment vertical="top" wrapText="1"/>
    </x:xf>
    <x:xf numFmtId="0" fontId="13" fillId="23" borderId="8" xfId="0" applyNumberFormat="1" applyFont="1" applyFill="1" applyBorder="1" applyAlignment="1">
      <x:alignment vertical="top" wrapText="1"/>
    </x:xf>
    <x:xf numFmtId="0" fontId="13" fillId="23" borderId="9" xfId="0" applyNumberFormat="1" applyFont="1" applyFill="1" applyBorder="1" applyAlignment="1">
      <x:alignment vertical="top" wrapText="1"/>
    </x:xf>
    <x:xf numFmtId="0" fontId="17" fillId="23" borderId="7" xfId="0" applyNumberFormat="1" applyFont="1" applyFill="1" applyBorder="1" applyAlignment="1">
      <x:alignment vertical="top" wrapText="1"/>
    </x:xf>
    <x:xf numFmtId="0" fontId="17" fillId="23" borderId="8" xfId="0" applyNumberFormat="1" applyFont="1" applyFill="1" applyBorder="1" applyAlignment="1">
      <x:alignment vertical="top" wrapText="1"/>
    </x:xf>
    <x:xf numFmtId="0" fontId="17" fillId="23" borderId="9" xfId="0" applyNumberFormat="1" applyFont="1" applyFill="1" applyBorder="1" applyAlignment="1">
      <x:alignment vertical="top" wrapText="1"/>
    </x:xf>
    <x:xf numFmtId="0" fontId="18" fillId="0" borderId="7" xfId="0" applyNumberFormat="1" applyFont="1" applyFill="1" applyBorder="1" applyAlignment="1">
      <x:alignment vertical="top" wrapText="1"/>
    </x:xf>
    <x:xf numFmtId="0" fontId="18" fillId="0" borderId="8" xfId="0" applyNumberFormat="1" applyFont="1" applyFill="1" applyBorder="1" applyAlignment="1">
      <x:alignment vertical="top" wrapText="1"/>
    </x:xf>
    <x:xf numFmtId="0" fontId="18" fillId="0" borderId="9" xfId="0" applyNumberFormat="1" applyFont="1" applyFill="1" applyBorder="1" applyAlignment="1">
      <x:alignment vertical="top" wrapText="1"/>
    </x:xf>
    <x:xf numFmtId="0" fontId="18" fillId="0" borderId="7" xfId="0" applyNumberFormat="1" applyFont="1" applyFill="1" applyBorder="1" applyAlignment="1">
      <x:alignment horizontal="center" vertical="top" wrapText="1"/>
    </x:xf>
    <x:xf numFmtId="0" fontId="18" fillId="0" borderId="8" xfId="0" applyNumberFormat="1" applyFont="1" applyFill="1" applyBorder="1" applyAlignment="1">
      <x:alignment horizontal="center" vertical="top" wrapText="1"/>
    </x:xf>
    <x:xf numFmtId="0" fontId="18" fillId="0" borderId="9" xfId="0" applyNumberFormat="1" applyFont="1" applyFill="1" applyBorder="1" applyAlignment="1">
      <x:alignment horizontal="center" vertical="top" wrapText="1"/>
    </x:xf>
    <x:xf numFmtId="0" fontId="19" fillId="0" borderId="7" xfId="0" applyNumberFormat="1" applyFont="1" applyFill="1" applyBorder="1" applyAlignment="1">
      <x:alignment vertical="top" wrapText="1"/>
    </x:xf>
    <x:xf numFmtId="0" fontId="19" fillId="0" borderId="8" xfId="0" applyNumberFormat="1" applyFont="1" applyFill="1" applyBorder="1" applyAlignment="1">
      <x:alignment vertical="top" wrapText="1"/>
    </x:xf>
    <x:xf numFmtId="0" fontId="19" fillId="0" borderId="9" xfId="0" applyNumberFormat="1" applyFont="1" applyFill="1" applyBorder="1" applyAlignment="1">
      <x:alignment vertical="top" wrapText="1"/>
    </x:xf>
    <x:xf numFmtId="201" fontId="0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8">
    <x:dxf>
      <x:font>
        <x:b/>
        <x:color rgb="FF7F1D1D"/>
      </x:font>
      <x:fill>
        <x:patternFill>
          <x:bgColor rgb="FFFECACA"/>
        </x:patternFill>
      </x:fill>
    </x:dxf>
    <x:dxf>
      <x:font>
        <x:b/>
        <x:color rgb="FF14532D"/>
      </x:font>
      <x:fill>
        <x:patternFill>
          <x:bgColor rgb="FFDCFCE7"/>
        </x:patternFill>
      </x:fill>
    </x:dxf>
    <x:dxf>
      <x:font>
        <x:b/>
        <x:color rgb="FF1E3A8A"/>
      </x:font>
      <x:fill>
        <x:patternFill>
          <x:bgColor rgb="FFDBEAFE"/>
        </x:patternFill>
      </x:fill>
    </x:dxf>
    <x:dxf>
      <x:font>
        <x:b/>
        <x:color rgb="FF78350F"/>
      </x:font>
      <x:fill>
        <x:patternFill>
          <x:bgColor rgb="FFFEF3C7"/>
        </x:patternFill>
      </x:fill>
    </x:dxf>
    <x:dxf>
      <x:font>
        <x:b/>
        <x:color rgb="FF1B5E20"/>
      </x:font>
      <x:fill>
        <x:patternFill>
          <x:bgColor rgb="FFDDEFD8"/>
        </x:patternFill>
      </x:fill>
    </x:dxf>
    <x:dxf>
      <x:font>
        <x:b/>
        <x:color rgb="FF8A4B08"/>
      </x:font>
      <x:fill>
        <x:patternFill>
          <x:bgColor rgb="FFFCE8D5"/>
        </x:patternFill>
      </x:fill>
    </x:dxf>
    <x:dxf>
      <x:font>
        <x:b/>
        <x:color rgb="FF8B1E1E"/>
      </x:font>
      <x:fill>
        <x:patternFill>
          <x:bgColor rgb="FFF4D7D7"/>
        </x:patternFill>
      </x:fill>
    </x:dxf>
    <x:dxf>
      <x:font>
        <x:b/>
        <x:color rgb="FF455A64"/>
      </x:font>
      <x:fill>
        <x:patternFill>
          <x:bgColor rgb="FFECEFF1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03985e9b1314937" /><Relationship Type="http://schemas.openxmlformats.org/officeDocument/2006/relationships/theme" Target="/xl/theme/theme1.xml" Id="R2125033bdaf64698" /><Relationship Type="http://schemas.openxmlformats.org/officeDocument/2006/relationships/sharedStrings" Target="/xl/sharedStrings.xml" Id="R42cff9740a19415e" /><Relationship Type="http://schemas.openxmlformats.org/officeDocument/2006/relationships/worksheet" Target="/xl/worksheets/sheet1.xml" Id="Rdb83a01b6f9c458b" /><Relationship Type="http://schemas.openxmlformats.org/officeDocument/2006/relationships/worksheet" Target="/xl/worksheets/sheet2.xml" Id="R21c930aff0e34ffe" /><Relationship Type="http://schemas.openxmlformats.org/officeDocument/2006/relationships/worksheet" Target="/xl/worksheets/sheet3.xml" Id="R36b8427d74fe444f" /><Relationship Type="http://schemas.openxmlformats.org/officeDocument/2006/relationships/worksheet" Target="/xl/worksheets/sheet4.xml" Id="Rf61bf2aeecd24872" /><Relationship Type="http://schemas.openxmlformats.org/officeDocument/2006/relationships/worksheet" Target="/xl/worksheets/sheet5.xml" Id="R2e9a1283bdf44877" /><Relationship Type="http://schemas.openxmlformats.org/officeDocument/2006/relationships/worksheet" Target="/xl/worksheets/sheet6.xml" Id="Rd7587698b16b4166" /><Relationship Type="http://schemas.openxmlformats.org/officeDocument/2006/relationships/worksheet" Target="/xl/worksheets/sheet7.xml" Id="R443c1f83587043e2" /><Relationship Type="http://schemas.openxmlformats.org/officeDocument/2006/relationships/worksheet" Target="/xl/worksheets/sheet8.xml" Id="Reb8d55f952d041a6" /><Relationship Type="http://schemas.openxmlformats.org/officeDocument/2006/relationships/worksheet" Target="/xl/worksheets/sheet9.xml" Id="R93c91127bc154b80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b8553a034981464e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Original 20 Loops by Phase</a:t>
            </a:r>
          </a:p>
        </c:rich>
      </c:tx>
    </c:title>
    <c:autoTitleDeleted val="0"/>
    <c:plotArea>
      <c:barChart>
        <c:barDir val="col"/>
        <c:varyColors val="0"/>
        <c:ser>
          <c:idx val="0"/>
          <c:order val="0"/>
          <c:tx>
            <c:v>Loops</c:v>
          </c:tx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0"/>
          </c:dLbls>
          <c:cat>
            <c:strRef>
              <c:f>'Dashboard'!$A$13:$A$18</c:f>
              <c:strCache>
                <c:ptCount val="0"/>
              </c:strCache>
            </c:strRef>
          </c:cat>
          <c:val>
            <c:numRef>
              <c:f>'Dashboard'!$B$13:$B$18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20</xdr:row>
      <xdr:rowOff>0</xdr:rowOff>
    </xdr:from>
    <xdr:to>
      <xdr:col>8</xdr:col>
      <xdr:colOff>0</xdr:colOff>
      <xdr:row>36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8553a034981464e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LoopTrackerTable" displayName="LoopTrackerTable" ref="A1:T21" headerRowCount="1">
  <x:tableColumns count="20">
    <x:tableColumn id="1" name="Loop ID"/>
    <x:tableColumn id="2" name="Phase"/>
    <x:tableColumn id="3" name="Loop Name"/>
    <x:tableColumn id="4" name="Core Question"/>
    <x:tableColumn id="5" name="Build Deliverable"/>
    <x:tableColumn id="6" name="Research Deliverable"/>
    <x:tableColumn id="7" name="Data Scope"/>
    <x:tableColumn id="8" name="Method / Baseline"/>
    <x:tableColumn id="9" name="Primary Metric"/>
    <x:tableColumn id="10" name="Acceptance Gate"/>
    <x:tableColumn id="11" name="Status"/>
    <x:tableColumn id="12" name="Priority"/>
    <x:tableColumn id="13" name="Owner"/>
    <x:tableColumn id="14" name="Effort"/>
    <x:tableColumn id="15" name="Dependencies"/>
    <x:tableColumn id="16" name="Complexity"/>
    <x:tableColumn id="17" name="Codex Prompt Seed"/>
    <x:tableColumn id="18" name="Notes"/>
    <x:tableColumn id="19" name="Score"/>
    <x:tableColumn id="20" name="Health"/>
  </x:tableColumns>
  <x:tableStyleInfo name="TableStyleMedium2" showRowStripes="1"/>
</x:table>
</file>

<file path=xl/tables/table2.xml><?xml version="1.0" encoding="utf-8"?>
<x:table xmlns:x="http://schemas.openxmlformats.org/spreadsheetml/2006/main" id="19" name="DecisionLogTable" displayName="DecisionLogTable" ref="A1:I46" headerRowCount="1" totalsRowCount="0" totalsRowShown="0">
  <x:tableColumns count="9">
    <x:tableColumn id="1" name="Date"/>
    <x:tableColumn id="2" name="Loop ID"/>
    <x:tableColumn id="3" name="Decision"/>
    <x:tableColumn id="4" name="Rationale"/>
    <x:tableColumn id="5" name="Evidence / Link"/>
    <x:tableColumn id="6" name="Reversible?"/>
    <x:tableColumn id="7" name="Owner"/>
    <x:tableColumn id="8" name="Next Review"/>
    <x:tableColumn id="9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14" name="RiskRegisterTable" displayName="RiskRegisterTable" ref="A1:I38" headerRowCount="1" totalsRowCount="0" totalsRowShown="0">
  <x:autoFilter ref="A1:I38"/>
  <x:tableColumns count="9">
    <x:tableColumn id="1" name="Risk ID"/>
    <x:tableColumn id="2" name="Area"/>
    <x:tableColumn id="3" name="Risk"/>
    <x:tableColumn id="4" name="Likelihood"/>
    <x:tableColumn id="5" name="Impact"/>
    <x:tableColumn id="6" name="Mitigation"/>
    <x:tableColumn id="7" name="Trigger"/>
    <x:tableColumn id="8" name="Owner"/>
    <x:tableColumn id="9" name="Statu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20" name="PromptBankTable" displayName="PromptBankTable" ref="A1:C38" headerRowCount="1" totalsRowCount="0" totalsRowShown="0">
  <x:tableColumns count="3">
    <x:tableColumn id="1" name="Loop ID"/>
    <x:tableColumn id="2" name="Loop Name"/>
    <x:tableColumn id="3" name="Prompt Seed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16" name="PracticeTrackTable" displayName="PracticeTrackTable" ref="A4:I14" headerRowCount="1" totalsRowCount="0" totalsRowShown="0">
  <x:tableColumns count="9">
    <x:tableColumn id="1" name="ID"/>
    <x:tableColumn id="2" name="Gate"/>
    <x:tableColumn id="3" name="Core Question"/>
    <x:tableColumn id="4" name="Status"/>
    <x:tableColumn id="5" name="Deliverable"/>
    <x:tableColumn id="6" name="Acceptance Boundary"/>
    <x:tableColumn id="7" name="Depends On"/>
    <x:tableColumn id="8" name="Proof Posture"/>
    <x:tableColumn id="9" name="Evidence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21" name="NextTwentyLoopsTable" displayName="NextTwentyLoopsTable" ref="A4:P24" headerRowCount="1" totalsRowCount="0" totalsRowShown="0">
  <x:autoFilter ref="A4:P24"/>
  <x:tableColumns count="16">
    <x:tableColumn id="1" name="Loop"/>
    <x:tableColumn id="2" name="Phase"/>
    <x:tableColumn id="3" name="Gate"/>
    <x:tableColumn id="4" name="Priority / Effort"/>
    <x:tableColumn id="5" name="Core question"/>
    <x:tableColumn id="6" name="Why high value"/>
    <x:tableColumn id="7" name="Build + research deliverables"/>
    <x:tableColumn id="8" name="Data scope + controls"/>
    <x:tableColumn id="9" name="Primary metrics"/>
    <x:tableColumn id="10" name="Acceptance + stop rule"/>
    <x:tableColumn id="11" name="Dependencies"/>
    <x:tableColumn id="12" name="Authorization boundary"/>
    <x:tableColumn id="13" name="Resource cap"/>
    <x:tableColumn id="14" name="Proof posture"/>
    <x:tableColumn id="15" name="Status"/>
    <x:tableColumn id="16" name="Primary source URL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26a48c6f718546ea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c357039deb34bc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cbc06fe9ce12453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b336f4934aa348c1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ec0cd44ed6c24be8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5.xml" Id="R159dc329a39b41a4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6.xml" Id="Re701abc426774c63" /></Relationships>
</file>

<file path=xl/worksheets/sheet1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8" hidden="0" customWidth="1"/>
    <x:col min="3" max="3" width="12" hidden="0" customWidth="1"/>
    <x:col min="4" max="4" width="12" hidden="0" customWidth="1"/>
    <x:col min="6" max="6" width="28" hidden="0" customWidth="1"/>
    <x:col min="7" max="7" width="28" hidden="0" customWidth="1"/>
    <x:col min="8" max="8" width="28" hidden="0" customWidth="1"/>
  </x:cols>
  <x:sheetData>
    <x:row r="1" ht="28" customHeight="1">
      <x:c r="A1" s="21" t="str">
        <x:v>NeuroDecodeKit Roadmap Tracker: Original 20 + Current Gate + Next 20</x:v>
      </x:c>
      <x:c r="B1" s="21"/>
      <x:c r="C1" s="21"/>
      <x:c r="D1" s="21"/>
      <x:c r="E1" s="21"/>
      <x:c r="F1" s="21"/>
      <x:c r="G1" s="21"/>
      <x:c r="H1" s="21"/>
    </x:row>
    <x:row r="2">
      <x:c r="A2" s="29" t="str">
        <x:v>Core rule: keep every gate tiny, honest, measured, repeatable, and explicit about what it cannot prove.</x:v>
      </x:c>
      <x:c r="B2" s="29" t="str"/>
      <x:c r="C2" s="29" t="str"/>
      <x:c r="D2" s="29" t="str"/>
      <x:c r="E2" s="29" t="str"/>
      <x:c r="F2" s="29" t="str"/>
      <x:c r="G2" s="29" t="str"/>
      <x:c r="H2" s="29" t="str"/>
    </x:row>
    <x:row r="4" ht="30" customHeight="1">
      <x:c r="A4" s="6" t="str">
        <x:v>KPI</x:v>
      </x:c>
      <x:c r="B4" s="6" t="str">
        <x:v>Value</x:v>
      </x:c>
      <x:c r="F4" s="6" t="str">
        <x:v>How to use this tracker</x:v>
      </x:c>
      <x:c r="G4" s="6" t="str"/>
      <x:c r="H4" s="6" t="str"/>
    </x:row>
    <x:row r="5">
      <x:c r="A5" s="36" t="str">
        <x:v>Original roadmap loops</x:v>
      </x:c>
      <x:c r="B5" s="36" t="n">
        <x:f>COUNTA('Loop Tracker'!$A$2:$A$21)</x:f>
        <x:v>20</x:v>
      </x:c>
      <x:c r="F5" s="29" t="str">
        <x:v>1) Work top-down unless a blocker forces a spike.
2) Keep each gate small enough for one PR or experiment note.
3) Every gate needs an acceptance boundary.
4) Add complexity only after a simpler baseline fails.
5) Never silently download huge neurodata.
6) Record decisions in the Decision Log.
7) Read 20 as the original roadmap size; use Current numbered gate for the post-roadmap position.</x:v>
      </x:c>
      <x:c r="G5" s="29" t="str"/>
      <x:c r="H5" s="29" t="str"/>
    </x:row>
    <x:row r="6">
      <x:c r="A6" s="36" t="str">
        <x:v>Original completed</x:v>
      </x:c>
      <x:c r="B6" s="36" t="n">
        <x:v>19</x:v>
      </x:c>
      <x:c r="F6" s="29" t="str"/>
      <x:c r="G6" s="29" t="str"/>
      <x:c r="H6" s="29" t="str"/>
    </x:row>
    <x:row r="7">
      <x:c r="A7" s="36" t="str">
        <x:v>Original parked</x:v>
      </x:c>
      <x:c r="B7" s="36" t="n">
        <x:v>1</x:v>
      </x:c>
      <x:c r="F7" s="29" t="str"/>
      <x:c r="G7" s="29" t="str"/>
      <x:c r="H7" s="29" t="str"/>
    </x:row>
    <x:row r="8" ht="31.5" customHeight="1">
      <x:c r="A8" s="12" t="str">
        <x:v>Current numbered gate</x:v>
      </x:c>
      <x:c r="B8" s="12" t="str">
        <x:v>Loop 25 amended v1; authorization pending</x:v>
      </x:c>
      <x:c r="F8" s="29" t="str"/>
      <x:c r="G8" s="29" t="str"/>
      <x:c r="H8" s="29" t="str"/>
    </x:row>
    <x:row r="9">
      <x:c r="A9" s="36" t="str">
        <x:v>Original roadmap progress</x:v>
      </x:c>
      <x:c r="B9" s="41" t="n">
        <x:v>0.955</x:v>
      </x:c>
      <x:c r="F9" s="29" t="str"/>
      <x:c r="G9" s="29" t="str"/>
      <x:c r="H9" s="29" t="str"/>
    </x:row>
    <x:row r="10" ht="280" customHeight="1">
      <x:c r="A10" s="12" t="str">
        <x:v>Scope note</x:v>
      </x:c>
      <x:c r="B10" s="39" t="str">
        <x:v>The 20-loop KPI counts the original roadmap; Loop 25 remains the active numbered decision. Loops 26 and 28-34 have completed planning research while their experiments remain Not Started; Loop 27 selected S25 metadata only. Loop 34 keeps confidence unavailable, separates seven confidence semantics and eight score/control roles, and recommends fresh target-free synthetic calibration/selection/final counts of 128/64/256. The six real validation rows remain reserved for Loops 26/31/33 and cannot fit and independently qualify confidence. Loop 34 freezes 20 future gates, 30 refusals, and 26 false authorization flags. No fixture, confidence fit, target open, scoring, product-confidence, or protected-data operation exists. All 20 execution flags remain false.</x:v>
      </x:c>
      <x:c r="C10" s="39"/>
      <x:c r="D10" s="39"/>
      <x:c r="F10" s="29" t="str"/>
      <x:c r="G10" s="29" t="str"/>
      <x:c r="H10" s="29" t="str"/>
    </x:row>
    <x:row r="11">
      <x:c r="F11" s="29" t="str"/>
      <x:c r="G11" s="29" t="str"/>
      <x:c r="H11" s="29" t="str"/>
    </x:row>
    <x:row r="12" ht="30" customHeight="1">
      <x:c r="A12" s="6" t="str">
        <x:v>Original phase</x:v>
      </x:c>
      <x:c r="B12" s="6" t="str">
        <x:v>Loops</x:v>
      </x:c>
      <x:c r="C12" s="6" t="str">
        <x:v>Completed</x:v>
      </x:c>
      <x:c r="D12" s="6" t="str">
        <x:v>Progress</x:v>
      </x:c>
      <x:c r="F12" s="29" t="str"/>
      <x:c r="G12" s="29" t="str"/>
      <x:c r="H12" s="29" t="str"/>
    </x:row>
    <x:row r="13">
      <x:c r="A13" t="str">
        <x:v>Foundation</x:v>
      </x:c>
      <x:c r="B13" t="n">
        <x:f>COUNTIF('Loop Tracker'!$B$2:$B$21,A13)</x:f>
        <x:v>5</x:v>
      </x:c>
      <x:c r="C13" t="n">
        <x:f>COUNTIFS('Loop Tracker'!$B$2:$B$21,A13,'Loop Tracker'!$K$2:$K$21,"Done")</x:f>
        <x:v>5</x:v>
      </x:c>
      <x:c r="D13" s="34" t="n">
        <x:f>AVERAGE('Loop Tracker'!$S$2:$S$6)</x:f>
        <x:v>1</x:v>
      </x:c>
      <x:c r="F13" s="29" t="str"/>
      <x:c r="G13" s="29" t="str"/>
      <x:c r="H13" s="29" t="str"/>
    </x:row>
    <x:row r="14">
      <x:c r="A14" t="str">
        <x:v>Baselines</x:v>
      </x:c>
      <x:c r="B14" t="n">
        <x:f>COUNTIF('Loop Tracker'!$B$2:$B$21,A14)</x:f>
        <x:v>4</x:v>
      </x:c>
      <x:c r="C14" t="n">
        <x:f>COUNTIFS('Loop Tracker'!$B$2:$B$21,A14,'Loop Tracker'!$K$2:$K$21,"Done")</x:f>
        <x:v>4</x:v>
      </x:c>
      <x:c r="D14" s="34" t="n">
        <x:f>AVERAGE('Loop Tracker'!$S$7:$S$10)</x:f>
        <x:v>1</x:v>
      </x:c>
    </x:row>
    <x:row r="15">
      <x:c r="A15" t="str">
        <x:v>Compression</x:v>
      </x:c>
      <x:c r="B15" t="n">
        <x:f>COUNTIF('Loop Tracker'!$B$2:$B$21,A15)</x:f>
        <x:v>4</x:v>
      </x:c>
      <x:c r="C15" t="n">
        <x:v>3</x:v>
      </x:c>
      <x:c r="D15" s="34" t="n">
        <x:f>AVERAGE('Loop Tracker'!$S$11:$S$14)</x:f>
        <x:v>0.775</x:v>
      </x:c>
    </x:row>
    <x:row r="16">
      <x:c r="A16" t="str">
        <x:v>Generalization</x:v>
      </x:c>
      <x:c r="B16" t="n">
        <x:f>COUNTIF('Loop Tracker'!$B$2:$B$21,A16)</x:f>
        <x:v>3</x:v>
      </x:c>
      <x:c r="C16" t="n">
        <x:v>3</x:v>
      </x:c>
      <x:c r="D16" s="34" t="n">
        <x:v>1</x:v>
      </x:c>
    </x:row>
    <x:row r="17">
      <x:c r="A17" t="str">
        <x:v>UX &amp; Reproducibility</x:v>
      </x:c>
      <x:c r="B17" t="n">
        <x:f>COUNTIF('Loop Tracker'!$B$2:$B$21,A17)</x:f>
        <x:v>2</x:v>
      </x:c>
      <x:c r="C17" t="n">
        <x:v>2</x:v>
      </x:c>
      <x:c r="D17" s="34" t="n">
        <x:v>1</x:v>
      </x:c>
    </x:row>
    <x:row r="18">
      <x:c r="A18" t="str">
        <x:v>Expansion</x:v>
      </x:c>
      <x:c r="B18" t="n">
        <x:f>COUNTIF('Loop Tracker'!$B$2:$B$21,A18)</x:f>
        <x:v>2</x:v>
      </x:c>
      <x:c r="C18" t="n">
        <x:v>2</x:v>
      </x:c>
      <x:c r="D18" s="34" t="n">
        <x:v>1</x:v>
      </x:c>
    </x:row>
  </x:sheetData>
  <x:mergeCells>
    <x:mergeCell ref="A1:H1"/>
    <x:mergeCell ref="A2:H2"/>
    <x:mergeCell ref="F4:H4"/>
    <x:mergeCell ref="F5:H13"/>
    <x:mergeCell ref="B10:D10"/>
  </x:mergeCells>
  <x:pageMargins left="0.7" right="0.7" top="0.75" bottom="0.75" header="0.3" footer="0.3"/>
  <x:drawing xmlns:r="http://schemas.openxmlformats.org/officeDocument/2006/relationships" r:id="R26a48c6f718546ea"/>
</x:worksheet>
</file>

<file path=xl/worksheets/sheet2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18" hidden="0" customWidth="1"/>
    <x:col min="3" max="3" width="28" hidden="0" customWidth="1"/>
    <x:col min="4" max="4" width="38" hidden="0" customWidth="1"/>
    <x:col min="5" max="5" width="40" hidden="0" customWidth="1"/>
    <x:col min="6" max="6" width="38" hidden="0" customWidth="1"/>
    <x:col min="7" max="7" width="28" hidden="0" customWidth="1"/>
    <x:col min="8" max="8" width="32" hidden="0" customWidth="1"/>
    <x:col min="9" max="9" width="24" hidden="0" customWidth="1"/>
    <x:col min="10" max="10" width="42" hidden="0" customWidth="1"/>
    <x:col min="11" max="11" width="14" hidden="0" customWidth="1"/>
    <x:col min="12" max="12" width="10" hidden="0" customWidth="1"/>
    <x:col min="13" max="13" width="12" hidden="0" customWidth="1"/>
    <x:col min="14" max="14" width="10" hidden="0" customWidth="1"/>
    <x:col min="15" max="15" width="24" hidden="0" customWidth="1"/>
    <x:col min="16" max="16" width="12" hidden="0" customWidth="1"/>
    <x:col min="17" max="17" width="44" hidden="0" customWidth="1"/>
    <x:col min="18" max="18" width="24" hidden="0" customWidth="1"/>
    <x:col min="19" max="19" width="10" hidden="0" customWidth="1"/>
    <x:col min="20" max="20" width="18" hidden="0" customWidth="1"/>
  </x:cols>
  <x:sheetData>
    <x:row r="1" ht="30" customHeight="1">
      <x:c r="A1" s="6" t="str">
        <x:v>Loop ID</x:v>
      </x:c>
      <x:c r="B1" s="6" t="str">
        <x:v>Phase</x:v>
      </x:c>
      <x:c r="C1" s="6" t="str">
        <x:v>Loop Name</x:v>
      </x:c>
      <x:c r="D1" s="6" t="str">
        <x:v>Core Question</x:v>
      </x:c>
      <x:c r="E1" s="6" t="str">
        <x:v>Build Deliverable</x:v>
      </x:c>
      <x:c r="F1" s="6" t="str">
        <x:v>Research Deliverable</x:v>
      </x:c>
      <x:c r="G1" s="6" t="str">
        <x:v>Data Scope</x:v>
      </x:c>
      <x:c r="H1" s="6" t="str">
        <x:v>Method / Baseline</x:v>
      </x:c>
      <x:c r="I1" s="6" t="str">
        <x:v>Primary Metric</x:v>
      </x:c>
      <x:c r="J1" s="6" t="str">
        <x:v>Acceptance Gate</x:v>
      </x:c>
      <x:c r="K1" s="6" t="str">
        <x:v>Status</x:v>
      </x:c>
      <x:c r="L1" s="6" t="str">
        <x:v>Priority</x:v>
      </x:c>
      <x:c r="M1" s="6" t="str">
        <x:v>Owner</x:v>
      </x:c>
      <x:c r="N1" s="6" t="str">
        <x:v>Effort</x:v>
      </x:c>
      <x:c r="O1" s="6" t="str">
        <x:v>Dependencies</x:v>
      </x:c>
      <x:c r="P1" s="6" t="str">
        <x:v>Complexity</x:v>
      </x:c>
      <x:c r="Q1" s="6" t="str">
        <x:v>Codex Prompt Seed</x:v>
      </x:c>
      <x:c r="R1" s="6" t="str">
        <x:v>Notes</x:v>
      </x:c>
      <x:c r="S1" s="6" t="str">
        <x:v>Score</x:v>
      </x:c>
      <x:c r="T1" s="6" t="str">
        <x:v>Health</x:v>
      </x:c>
    </x:row>
    <x:row r="2" ht="68" customHeight="1">
      <x:c r="A2" s="14" t="n">
        <x:v>1</x:v>
      </x:c>
      <x:c r="B2" s="14" t="str">
        <x:v>Foundation</x:v>
      </x:c>
      <x:c r="C2" s="14" t="str">
        <x:v>PR1 Closeout + Smoke Loop</x:v>
      </x:c>
      <x:c r="D2" s="14" t="str">
        <x:v>Can one real/synthetic event-window extraction path run without hidden assumptions?</x:v>
      </x:c>
      <x:c r="E2" s="14" t="str">
        <x:v>Finalize `extract-windows`; add synthetic smoke data path; produce one `.npz` cache.</x:v>
      </x:c>
      <x:c r="F2" s="14" t="str">
        <x:v>Short note: what event fields were parsed, what was uncertain, what was dropped.</x:v>
      </x:c>
      <x:c r="G2" s="14" t="str">
        <x:v>Synthetic first; then one `.fif` + one `.mat` when available.</x:v>
      </x:c>
      <x:c r="H2" s="14" t="str">
        <x:v>Window extraction only; no model yet.</x:v>
      </x:c>
      <x:c r="I2" s="14" t="str">
        <x:v>events found / kept / dropped; output shape; reproducibility.</x:v>
      </x:c>
      <x:c r="J2" s="14" t="str">
        <x:v>Tests pass; CLI help works; one tiny cache can be produced; blockers documented.</x:v>
      </x:c>
      <x:c r="K2" s="14" t="str">
        <x:v>Done</x:v>
      </x:c>
      <x:c r="L2" s="14" t="str">
        <x:v>P0</x:v>
      </x:c>
      <x:c r="M2" s="14" t="str">
        <x:v>Codex</x:v>
      </x:c>
      <x:c r="N2" s="14" t="str">
        <x:v>S</x:v>
      </x:c>
      <x:c r="O2" s="14" t="str">
        <x:v>PR1 merged</x:v>
      </x:c>
      <x:c r="P2" s="14" t="str">
        <x:v>Low</x:v>
      </x:c>
      <x:c r="Q2" s="14" t="str">
        <x:v>Read PR1 diff, run tests, generate one synthetic cache, then attempt real one-block extraction only if files exist.</x:v>
      </x:c>
      <x:c r="R2" s="14" t="str">
        <x:v>Synthetic smoke path closed on 2026-06-29. Tests and CLI help passed; real extraction blocked until one explicit .fif/.mat pair is present.</x:v>
      </x:c>
      <x:c r="S2" s="16" t="n">
        <x:f>IF(K2="Done",1,IF(K2="Review",0.8,IF(K2="In Progress",0.5,IF(K2="Blocked",0.2,IF(K2="Parked",0.1,0)))))</x:f>
        <x:v>1</x:v>
      </x:c>
      <x:c r="T2" s="14" t="str">
        <x:f>IF(K2="Blocked","Fix blocker",IF(K2="Review","Review/merge",IF(K2="Parked","Parked",IF(AND(L2="P0",K2="Not Started"),"Next candidate",IF(K2="Done","Closed","Normal")))))</x:f>
        <x:v>Closed</x:v>
      </x:c>
    </x:row>
    <x:row r="3" ht="68" customHeight="1">
      <x:c r="A3" s="14" t="n">
        <x:v>2</x:v>
      </x:c>
      <x:c r="B3" s="14" t="str">
        <x:v>Foundation</x:v>
      </x:c>
      <x:c r="C3" s="14" t="str">
        <x:v>SpanishBCBL Manifest v1</x:v>
      </x:c>
      <x:c r="D3" s="14" t="str">
        <x:v>Can we map subject/session/block/log files before downloading anything large?</x:v>
      </x:c>
      <x:c r="E3" s="14" t="str">
        <x:v>Improve manifest parser with size, modality, subject/session/block, candidate log pairing, and warnings.</x:v>
      </x:c>
      <x:c r="F3" s="14" t="str">
        <x:v>Manifest QA note: ambiguous file patterns, missing logs, naming assumptions.</x:v>
      </x:c>
      <x:c r="G3" s="14" t="str">
        <x:v>Remote file list only; no large file download.</x:v>
      </x:c>
      <x:c r="H3" s="14" t="str">
        <x:v>Path parsing + heuristics + unit tests.</x:v>
      </x:c>
      <x:c r="I3" s="14" t="str">
        <x:v>% files classified; number of ambiguous paths.</x:v>
      </x:c>
      <x:c r="J3" s="14" t="str">
        <x:v>Manifest covers expected MEG/EEG/log file families; ambiguous rows are explicit.</x:v>
      </x:c>
      <x:c r="K3" s="14" t="str">
        <x:v>Done</x:v>
      </x:c>
      <x:c r="L3" s="14" t="str">
        <x:v>P0</x:v>
      </x:c>
      <x:c r="M3" s="14" t="str">
        <x:v>Codex</x:v>
      </x:c>
      <x:c r="N3" s="14" t="str">
        <x:v>S</x:v>
      </x:c>
      <x:c r="O3" s="14" t="str">
        <x:v>Loop 1</x:v>
      </x:c>
      <x:c r="P3" s="14" t="str">
        <x:v>Medium</x:v>
      </x:c>
      <x:c r="Q3" s="14" t="str">
        <x:v>Harden `manifest-from-paths` and produce a manifest summary with explicit unknowns rather than guessing.</x:v>
      </x:c>
      <x:c r="R3" s="14" t="str">
        <x:v>Manifest v1 closed on 2026-06-29. Rows now include family/warnings, optional sizes, and raw/log pairing summaries.</x:v>
      </x:c>
      <x:c r="S3" s="16" t="n">
        <x:f>IF(K3="Done",1,IF(K3="Review",0.8,IF(K3="In Progress",0.5,IF(K3="Blocked",0.2,IF(K3="Parked",0.1,0)))))</x:f>
        <x:v>1</x:v>
      </x:c>
      <x:c r="T3" s="14" t="str">
        <x:f>IF(K3="Blocked","Fix blocker",IF(K3="Review","Review/merge",IF(K3="Parked","Parked",IF(AND(L3="P0",K3="Not Started"),"Next candidate",IF(K3="Done","Closed","Normal")))))</x:f>
        <x:v>Closed</x:v>
      </x:c>
    </x:row>
    <x:row r="4" ht="68" customHeight="1">
      <x:c r="A4" s="14" t="n">
        <x:v>3</x:v>
      </x:c>
      <x:c r="B4" s="14" t="str">
        <x:v>Foundation</x:v>
      </x:c>
      <x:c r="C4" s="14" t="str">
        <x:v>Safe Tiny-Shard Selector</x:v>
      </x:c>
      <x:c r="D4" s="14" t="str">
        <x:v>Can a user request the smallest meaningful shard without accidentally downloading the universe?</x:v>
      </x:c>
      <x:c r="E4" s="14" t="str">
        <x:v>Add size-aware selection, max-files, max-total-GB, and required `--execute` for downloads.</x:v>
      </x:c>
      <x:c r="F4" s="14" t="str">
        <x:v>Tiny-shard selection policy and default safety limits.</x:v>
      </x:c>
      <x:c r="G4" s="14" t="str">
        <x:v>File manifest + selected MEG/log files.</x:v>
      </x:c>
      <x:c r="H4" s="14" t="str">
        <x:v>Selection constraints and dry-run report.</x:v>
      </x:c>
      <x:c r="I4" s="14" t="str">
        <x:v>planned GB; file count; expected cache shape.</x:v>
      </x:c>
      <x:c r="J4" s="14" t="str">
        <x:v>Dry run prints exact files and size estimate; real download requires explicit confirmation.</x:v>
      </x:c>
      <x:c r="K4" s="14" t="str">
        <x:v>Done</x:v>
      </x:c>
      <x:c r="L4" s="14" t="str">
        <x:v>P0</x:v>
      </x:c>
      <x:c r="M4" s="14" t="str">
        <x:v>Codex</x:v>
      </x:c>
      <x:c r="N4" s="14" t="str">
        <x:v>S</x:v>
      </x:c>
      <x:c r="O4" s="14" t="str">
        <x:v>Loop 2</x:v>
      </x:c>
      <x:c r="P4" s="14" t="str">
        <x:v>Low</x:v>
      </x:c>
      <x:c r="Q4" s="14" t="str">
        <x:v>Make the tiny selector safety-first: max bytes, max files, dry-run default, and clear planned download report.</x:v>
      </x:c>
      <x:c r="R4" s="14" t="str">
        <x:v>Safe selector closed on 2026-06-29. Plans now include caps, exact paths, known bytes, missing-size warnings, dry-run default, and execute guards.</x:v>
      </x:c>
      <x:c r="S4" s="16" t="n">
        <x:f>IF(K4="Done",1,IF(K4="Review",0.8,IF(K4="In Progress",0.5,IF(K4="Blocked",0.2,IF(K4="Parked",0.1,0)))))</x:f>
        <x:v>1</x:v>
      </x:c>
      <x:c r="T4" s="14" t="str">
        <x:f>IF(K4="Blocked","Fix blocker",IF(K4="Review","Review/merge",IF(K4="Parked","Parked",IF(AND(L4="P0",K4="Not Started"),"Next candidate",IF(K4="Done","Closed","Normal")))))</x:f>
        <x:v>Closed</x:v>
      </x:c>
    </x:row>
    <x:row r="5" ht="68" customHeight="1">
      <x:c r="A5" s="14" t="n">
        <x:v>4</x:v>
      </x:c>
      <x:c r="B5" s="14" t="str">
        <x:v>Foundation</x:v>
      </x:c>
      <x:c r="C5" s="14" t="str">
        <x:v>B2Q-mini Cache v0</x:v>
      </x:c>
      <x:c r="D5" s="14" t="str">
        <x:v>Can one selected block become a reusable tiny cache with enough provenance to trust later results?</x:v>
      </x:c>
      <x:c r="E5" s="14" t="str">
        <x:v>Create `.npz` cache schema v0 and optional metadata sidecar JSON.</x:v>
      </x:c>
      <x:c r="F5" s="14" t="str">
        <x:v>Cache schema spec: windows, labels, event metadata, sfreq, channels, source paths, params.</x:v>
      </x:c>
      <x:c r="G5" s="14" t="str">
        <x:v>One synthetic cache; optional one real block.</x:v>
      </x:c>
      <x:c r="H5" s="14" t="str">
        <x:v>NPZ cache + JSON metadata.</x:v>
      </x:c>
      <x:c r="I5" s="14" t="str">
        <x:v>cache size; load time; shape; label coverage.</x:v>
      </x:c>
      <x:c r="J5" s="14" t="str">
        <x:v>Cache loads with one function; metadata explains every transformation.</x:v>
      </x:c>
      <x:c r="K5" s="14" t="str">
        <x:v>Done</x:v>
      </x:c>
      <x:c r="L5" s="14" t="str">
        <x:v>P0</x:v>
      </x:c>
      <x:c r="M5" s="14" t="str">
        <x:v>Codex</x:v>
      </x:c>
      <x:c r="N5" s="14" t="str">
        <x:v>M</x:v>
      </x:c>
      <x:c r="O5" s="14" t="str">
        <x:v>Loops 1-3</x:v>
      </x:c>
      <x:c r="P5" s="14" t="str">
        <x:v>Medium</x:v>
      </x:c>
      <x:c r="Q5" s="14" t="str">
        <x:v>Define the first stable tiny-cache schema and add a `load-cache` smoke command or test.</x:v>
      </x:c>
      <x:c r="R5" s="14" t="str">
        <x:v>Cache schema v0 closed on 2026-06-29. NPZ caches now load through one schema-aware function with validation, transformations, warnings, and sidecar metadata.</x:v>
      </x:c>
      <x:c r="S5" s="16" t="n">
        <x:f>IF(K5="Done",1,IF(K5="Review",0.8,IF(K5="In Progress",0.5,IF(K5="Blocked",0.2,IF(K5="Parked",0.1,0)))))</x:f>
        <x:v>1</x:v>
      </x:c>
      <x:c r="T5" s="14" t="str">
        <x:f>IF(K5="Blocked","Fix blocker",IF(K5="Review","Review/merge",IF(K5="Parked","Parked",IF(AND(L5="P0",K5="Not Started"),"Next candidate",IF(K5="Done","Closed","Normal")))))</x:f>
        <x:v>Closed</x:v>
      </x:c>
    </x:row>
    <x:row r="6" ht="68" customHeight="1">
      <x:c r="A6" s="14" t="n">
        <x:v>5</x:v>
      </x:c>
      <x:c r="B6" s="14" t="str">
        <x:v>Foundation</x:v>
      </x:c>
      <x:c r="C6" s="14" t="str">
        <x:v>Metrics + Error Report v1</x:v>
      </x:c>
      <x:c r="D6" s="14" t="str">
        <x:v>Can every run produce an honest report without needing a notebook?</x:v>
      </x:c>
      <x:c r="E6" s="14" t="str">
        <x:v>Add `neurodecode report` that computes CER, WER, keyboard distance, and simple run metadata.</x:v>
      </x:c>
      <x:c r="F6" s="14" t="str">
        <x:v>Metric definitions and when each metric is misleading.</x:v>
      </x:c>
      <x:c r="G6" s="14" t="str">
        <x:v>Synthetic predictions; later tiny real predictions.</x:v>
      </x:c>
      <x:c r="H6" s="14" t="str">
        <x:v>CER/WER + keyboard distance diagnostics.</x:v>
      </x:c>
      <x:c r="I6" s="14" t="str">
        <x:v>CER; WER; avg keyboard distance; coverage.</x:v>
      </x:c>
      <x:c r="J6" s="14" t="str">
        <x:v>Report runs from CLI and writes JSON/Markdown; metric tests pass.</x:v>
      </x:c>
      <x:c r="K6" s="14" t="str">
        <x:v>Done</x:v>
      </x:c>
      <x:c r="L6" s="14" t="str">
        <x:v>P0</x:v>
      </x:c>
      <x:c r="M6" s="14" t="str">
        <x:v>Codex</x:v>
      </x:c>
      <x:c r="N6" s="14" t="str">
        <x:v>S</x:v>
      </x:c>
      <x:c r="O6" s="14" t="str">
        <x:v>Loop 4</x:v>
      </x:c>
      <x:c r="P6" s="14" t="str">
        <x:v>Low</x:v>
      </x:c>
      <x:c r="Q6" s="14" t="str">
        <x:v>Build a report command that turns predictions + targets into a simple JSON/Markdown scorecard.</x:v>
      </x:c>
      <x:c r="R6" s="14" t="str"/>
      <x:c r="S6" s="16" t="n">
        <x:f>IF(K6="Done",1,IF(K6="Review",0.8,IF(K6="In Progress",0.5,IF(K6="Blocked",0.2,IF(K6="Parked",0.1,0)))))</x:f>
        <x:v>1</x:v>
      </x:c>
      <x:c r="T6" s="14" t="str">
        <x:f>IF(K6="Blocked","Fix blocker",IF(K6="Review","Review/merge",IF(K6="Parked","Parked",IF(AND(L6="P0",K6="Not Started"),"Next candidate",IF(K6="Done","Closed","Normal")))))</x:f>
        <x:v>Closed</x:v>
      </x:c>
    </x:row>
    <x:row r="7" ht="68" customHeight="1">
      <x:c r="A7" s="14" t="n">
        <x:v>6</x:v>
      </x:c>
      <x:c r="B7" s="14" t="str">
        <x:v>Baselines</x:v>
      </x:c>
      <x:c r="C7" s="14" t="str">
        <x:v>LM-only / Prior-only Baseline</x:v>
      </x:c>
      <x:c r="D7" s="14" t="str">
        <x:v>How much performance comes from language priors before using brain data?</x:v>
      </x:c>
      <x:c r="E7" s="14" t="str">
        <x:v>Implement baseline that predicts from label distribution, prompts, or known sentence set without neural signal.</x:v>
      </x:c>
      <x:c r="F7" s="14" t="str">
        <x:v>Baseline note: what a model can guess without MEG/EEG.</x:v>
      </x:c>
      <x:c r="G7" s="14" t="str">
        <x:v>Synthetic and tiny cache labels.</x:v>
      </x:c>
      <x:c r="H7" s="14" t="str">
        <x:v>Prior-only baseline; optional n-gram/known-corpus baseline.</x:v>
      </x:c>
      <x:c r="I7" s="14" t="str">
        <x:v>CER/WER vs neural models later.</x:v>
      </x:c>
      <x:c r="J7" s="14" t="str">
        <x:v>Baseline exists and is reported beside every neural result.</x:v>
      </x:c>
      <x:c r="K7" s="14" t="str">
        <x:v>Done</x:v>
      </x:c>
      <x:c r="L7" s="14" t="str">
        <x:v>P0</x:v>
      </x:c>
      <x:c r="M7" s="14" t="str">
        <x:v>Codex</x:v>
      </x:c>
      <x:c r="N7" s="14" t="str">
        <x:v>S</x:v>
      </x:c>
      <x:c r="O7" s="14" t="str">
        <x:v>Loop 5</x:v>
      </x:c>
      <x:c r="P7" s="14" t="str">
        <x:v>Low</x:v>
      </x:c>
      <x:c r="Q7" s="14" t="str">
        <x:v>Implement an intentionally dumb but critical no-brain baseline and wire it into the report.</x:v>
      </x:c>
      <x:c r="R7" s="14" t="str">
        <x:v>Prior-only baseline closed on 2026-07-01. Report warns no neural signal used.</x:v>
      </x:c>
      <x:c r="S7" s="16" t="n">
        <x:f>IF(K7="Done",1,IF(K7="Review",0.8,IF(K7="In Progress",0.5,IF(K7="Blocked",0.2,IF(K7="Parked",0.1,0)))))</x:f>
        <x:v>1</x:v>
      </x:c>
      <x:c r="T7" s="14" t="str">
        <x:f>IF(K7="Blocked","Fix blocker",IF(K7="Review","Review/merge",IF(K7="Parked","Parked",IF(AND(L7="P0",K7="Not Started"),"Next candidate",IF(K7="Done","Closed","Normal")))))</x:f>
        <x:v>Closed</x:v>
      </x:c>
    </x:row>
    <x:row r="8" ht="68" customHeight="1">
      <x:c r="A8" s="14" t="n">
        <x:v>7</x:v>
      </x:c>
      <x:c r="B8" s="14" t="str">
        <x:v>Baselines</x:v>
      </x:c>
      <x:c r="C8" s="14" t="str">
        <x:v>Template / Nearest-Centroid Baseline</x:v>
      </x:c>
      <x:c r="D8" s="14" t="str">
        <x:v>Is there separable signal in the windows before deep learning?</x:v>
      </x:c>
      <x:c r="E8" s="14" t="str">
        <x:v>Train/eval nearest-centroid or template classifier over windows/features.</x:v>
      </x:c>
      <x:c r="F8" s="14" t="str">
        <x:v>Result note: which labels/classes are separable and which are noise.</x:v>
      </x:c>
      <x:c r="G8" s="14" t="str">
        <x:v>B2Q-mini cache.</x:v>
      </x:c>
      <x:c r="H8" s="14" t="str">
        <x:v>Mean features, templates, centroid distance.</x:v>
      </x:c>
      <x:c r="I8" s="14" t="str">
        <x:v>accuracy; CER proxy if labels map to chars; confusion table.</x:v>
      </x:c>
      <x:c r="J8" s="14" t="str">
        <x:v>Model trains in seconds and produces a baseline report.</x:v>
      </x:c>
      <x:c r="K8" s="14" t="str">
        <x:v>Done</x:v>
      </x:c>
      <x:c r="L8" s="14" t="str">
        <x:v>P1</x:v>
      </x:c>
      <x:c r="M8" s="14" t="str">
        <x:v>Codex</x:v>
      </x:c>
      <x:c r="N8" s="14" t="str">
        <x:v>S</x:v>
      </x:c>
      <x:c r="O8" s="14" t="str">
        <x:v>Loops 4-5</x:v>
      </x:c>
      <x:c r="P8" s="14" t="str">
        <x:v>Low</x:v>
      </x:c>
      <x:c r="Q8" s="14" t="str">
        <x:v>Build a tiny transparent classifier before any neural net. Make it boring and trustworthy.</x:v>
      </x:c>
      <x:c r="R8" s="14" t="str">
        <x:v>Template baseline closed on 2026-07-01. Stratified synthetic holdout report warns synthetic data only.</x:v>
      </x:c>
      <x:c r="S8" s="16" t="n">
        <x:f>IF(K8="Done",1,IF(K8="Review",0.8,IF(K8="In Progress",0.5,IF(K8="Blocked",0.2,IF(K8="Parked",0.1,0)))))</x:f>
        <x:v>1</x:v>
      </x:c>
      <x:c r="T8" s="14" t="str">
        <x:f>IF(K8="Blocked","Fix blocker",IF(K8="Review","Review/merge",IF(K8="Parked","Parked",IF(AND(L8="P0",K8="Not Started"),"Next candidate",IF(K8="Done","Closed","Normal")))))</x:f>
        <x:v>Closed</x:v>
      </x:c>
    </x:row>
    <x:row r="9" ht="68" customHeight="1">
      <x:c r="A9" s="14" t="n">
        <x:v>8</x:v>
      </x:c>
      <x:c r="B9" s="14" t="str">
        <x:v>Baselines</x:v>
      </x:c>
      <x:c r="C9" s="14" t="str">
        <x:v>Tiny Conv / EEGNet-style Baseline</x:v>
      </x:c>
      <x:c r="D9" s="14" t="str">
        <x:v>Can a small neural model beat transparent baselines on the tiny loop?</x:v>
      </x:c>
      <x:c r="E9" s="14" t="str">
        <x:v>Add PyTorch optional tiny ConvNet baseline with CPU-friendly defaults.</x:v>
      </x:c>
      <x:c r="F9" s="14" t="str">
        <x:v>Model card: params, training time, expected failure modes.</x:v>
      </x:c>
      <x:c r="G9" s="14" t="str">
        <x:v>B2Q-mini cache.</x:v>
      </x:c>
      <x:c r="H9" s="14" t="str">
        <x:v>Small ConvNet / EEGNet-inspired classifier.</x:v>
      </x:c>
      <x:c r="I9" s="14" t="str">
        <x:v>validation accuracy; CER/WER if sequence labels exist.</x:v>
      </x:c>
      <x:c r="J9" s="14" t="str">
        <x:v>Trains on synthetic data in CI-like smoke mode; real data path documented.</x:v>
      </x:c>
      <x:c r="K9" s="14" t="str">
        <x:v>Done</x:v>
      </x:c>
      <x:c r="L9" s="14" t="str">
        <x:v>P1</x:v>
      </x:c>
      <x:c r="M9" s="14" t="str">
        <x:v>Codex</x:v>
      </x:c>
      <x:c r="N9" s="14" t="str">
        <x:v>M</x:v>
      </x:c>
      <x:c r="O9" s="14" t="str">
        <x:v>Loop 7</x:v>
      </x:c>
      <x:c r="P9" s="14" t="str">
        <x:v>Medium</x:v>
      </x:c>
      <x:c r="Q9" s="14" t="str">
        <x:v>Add a tiny neural baseline without making the package heavy; optional deps and fast smoke test only.</x:v>
      </x:c>
      <x:c r="R9" s="14" t="str">
        <x:v>Tiny Conv baseline closed on 2026-07-01. Torch training smoke is present but skipped locally because the ml extra is not installed.</x:v>
      </x:c>
      <x:c r="S9" s="16" t="n">
        <x:f>IF(K9="Done",1,IF(K9="Review",0.8,IF(K9="In Progress",0.5,IF(K9="Blocked",0.2,IF(K9="Parked",0.1,0)))))</x:f>
        <x:v>1</x:v>
      </x:c>
      <x:c r="T9" s="14" t="str">
        <x:f>IF(K9="Blocked","Fix blocker",IF(K9="Review","Review/merge",IF(K9="Parked","Parked",IF(AND(L9="P0",K9="Not Started"),"Next candidate",IF(K9="Done","Closed","Normal")))))</x:f>
        <x:v>Closed</x:v>
      </x:c>
    </x:row>
    <x:row r="10" ht="108" customHeight="1">
      <x:c r="A10" s="14" t="n">
        <x:v>9</x:v>
      </x:c>
      <x:c r="B10" s="14" t="str">
        <x:v>Baselines</x:v>
      </x:c>
      <x:c r="C10" s="14" t="str">
        <x:v>CTC Character Decoder Scaffold</x:v>
      </x:c>
      <x:c r="D10" s="14" t="str">
        <x:v>Can a resource-bounded continuous sentence decoder learn sequence alignment without keystroke timing?</x:v>
      </x:c>
      <x:c r="E10" s="14" t="str">
        <x:v>Add a continuous sentence-window cache interface and optional tiny CTC model; prove synthetic training, then run one validated S21 block smoke.</x:v>
      </x:c>
      <x:c r="F10" s="14" t="str">
        <x:v>CTC feasibility and official Brain2Qwerty v2 mapping note, including data, compute, latency, and hardware gaps.</x:v>
      </x:c>
      <x:c r="G10" s="14" t="str">
        <x:v>Synthetic sequence data plus validated S21 session-1 block1: 66 trials; 16-channel extraction smoke.</x:v>
      </x:c>
      <x:c r="H10" s="14" t="str">
        <x:v>Tiny Conv/CTC encoder with padded variable-length sentence batches; CPU-safe smoke defaults.</x:v>
      </x:c>
      <x:c r="I10" s="14" t="str">
        <x:v>CER; blank rate; input/target lengths; runtime; peak memory; cache bytes.</x:v>
      </x:c>
      <x:c r="J10" s="14" t="str">
        <x:v>Synthetic CTC loop trains; one sentence-level real cache validates shapes and labels; no real decoding-performance claim.</x:v>
      </x:c>
      <x:c r="K10" s="14" t="str">
        <x:v>Done</x:v>
      </x:c>
      <x:c r="L10" s="14" t="str">
        <x:v>P1</x:v>
      </x:c>
      <x:c r="M10" s="14" t="str">
        <x:v>Codex</x:v>
      </x:c>
      <x:c r="N10" s="14" t="str">
        <x:v>M</x:v>
      </x:c>
      <x:c r="O10" s="14" t="str">
        <x:v>Loop 8 plus Loop 8.5 real alignment gate</x:v>
      </x:c>
      <x:c r="P10" s="14" t="str">
        <x:v>Medium</x:v>
      </x:c>
      <x:c r="Q10" s="14" t="str">
        <x:v>Build a CPU-bounded continuous sentence cache and minimal CTC scaffold from the validated S21 block1. Keep Torch optional, preserve the no-brain comparator, and report shape, bytes, runtime, memory, CER, and blank rate.</x:v>
      </x:c>
      <x:c r="R10" s="14" t="str">
        <x:v>Loop 9 closed 2026-07-10: b2q-sentence-cache v0; synthetic CTC 20/20 seeds at CER 0.0 with one training-only restart; prior CER 0.7068; real S21 cache 66x16x617, 1.6 MB, 6.24 sec, about 515 MiB peak RSS. No real model score.</x:v>
      </x:c>
      <x:c r="S10" s="16" t="n">
        <x:f>IF(K10="Done",1,IF(K10="Review",0.8,IF(K10="In Progress",0.5,IF(K10="Blocked",0.2,IF(K10="Parked",0.1,0)))))</x:f>
        <x:v>1</x:v>
      </x:c>
      <x:c r="T10" s="14" t="str">
        <x:f>IF(K10="Blocked","Fix blocker",IF(K10="Review","Review/merge",IF(K10="Parked","Parked",IF(AND(L10="P0",K10="Not Started"),"Next candidate",IF(K10="Done","Closed","Normal")))))</x:f>
        <x:v>Closed</x:v>
      </x:c>
    </x:row>
    <x:row r="11" ht="120" customHeight="1">
      <x:c r="A11" s="14" t="n">
        <x:v>10</x:v>
      </x:c>
      <x:c r="B11" s="14" t="str">
        <x:v>Compression</x:v>
      </x:c>
      <x:c r="C11" s="14" t="str">
        <x:v>Sampling-Rate Sweep</x:v>
      </x:c>
      <x:c r="D11" s="14" t="str">
        <x:v>How low can sampling rate go before the tiny-loop signal breaks?</x:v>
      </x:c>
      <x:c r="E11" s="14" t="str">
        <x:v>Add experiment runner for 1000/500/250/100/50 Hz or available equivalents.</x:v>
      </x:c>
      <x:c r="F11" s="14" t="str">
        <x:v>Resource curve: cache bytes, timepoints, effective bandwidth, timing grid, signal summaries, and CTC feasibility; no retained-accuracy claim.</x:v>
      </x:c>
      <x:c r="G11" s="14" t="str">
        <x:v>Validated S21 block1, same 16 channels, 100/50/25 Hz; no additional download.</x:v>
      </x:c>
      <x:c r="H11" s="14" t="str">
        <x:v>Sequential isolated sentence-cache workers plus strict cross-rate identity and feasibility audit.</x:v>
      </x:c>
      <x:c r="I11" s="14" t="str">
        <x:v>cache bytes; runtime; peak RSS; bandwidth; boundary quantization; signal RMS/clamp; stride-one and official v2 CTC margins</x:v>
      </x:c>
      <x:c r="J11" s="14" t="str">
        <x:v>One JSON/Markdown report compares identical 66-row, 16-channel 100/50/25 Hz caches and audits the official temporal contract; no accuracy winner is selected.</x:v>
      </x:c>
      <x:c r="K11" s="14" t="str">
        <x:v>Done</x:v>
      </x:c>
      <x:c r="L11" s="14" t="str">
        <x:v>P1</x:v>
      </x:c>
      <x:c r="M11" s="14" t="str">
        <x:v>Codex</x:v>
      </x:c>
      <x:c r="N11" s="14" t="str">
        <x:v>M</x:v>
      </x:c>
      <x:c r="O11" s="14" t="str">
        <x:v>Loop 9 real sentence cache</x:v>
      </x:c>
      <x:c r="P11" s="14" t="str">
        <x:v>Medium</x:v>
      </x:c>
      <x:c r="Q11" s="14" t="str">
        <x:v>Run isolated one-thread 100/50/25 Hz sentence-cache extraction from validated S21 block1; verify exact identity and report resource, bandwidth, timing, signal, and CTC constraints without training.</x:v>
      </x:c>
      <x:c r="R11" s="14" t="str">
        <x:v>Loop 10 closed 2026-07-10. 100/50/25 Hz caches: 1,663,209 / 846,334 / 431,451 bytes; final run 4.121 / 3.586 / 3.539 sec. Stride-one: all 66/66 feasible. Official v2 kernel16/stride4: 66/66, 66/66, 0/66. No accuracy winner selected.</x:v>
      </x:c>
      <x:c r="S11" s="16" t="n">
        <x:f>IF(K11="Done",1,IF(K11="Review",0.8,IF(K11="In Progress",0.5,IF(K11="Blocked",0.2,IF(K11="Parked",0.1,0)))))</x:f>
        <x:v>1</x:v>
      </x:c>
      <x:c r="T11" s="14" t="str">
        <x:f>IF(K11="Blocked","Fix blocker",IF(K11="Review","Review/merge",IF(K11="Parked","Parked",IF(AND(L11="P0",K11="Not Started"),"Next candidate",IF(K11="Done","Closed","Normal")))))</x:f>
        <x:v>Closed</x:v>
      </x:c>
    </x:row>
    <x:row r="12" ht="120" customHeight="1">
      <x:c r="A12" s="14" t="n">
        <x:v>11</x:v>
      </x:c>
      <x:c r="B12" s="14" t="str">
        <x:v>Compression</x:v>
      </x:c>
      <x:c r="C12" s="14" t="str">
        <x:v>Channel / Sensor Subset Sweep</x:v>
      </x:c>
      <x:c r="D12" s="14" t="str">
        <x:v>Can explicit geometry-aware channel subsets reduce local input cost while preserving distinct signal proxies?</x:v>
      </x:c>
      <x:c r="E12" s="14" t="str">
        <x:v>Add channel geometry provenance and `channel-subset-sweep` with spatial-FPS, variance, seeded-random, and file-order strategies plus a 128 MiB cap.</x:v>
      </x:c>
      <x:c r="F12" s="14" t="str">
        <x:v>Real S21 channel-subset report anchored to the official v2 random-sensor ablation, with proxy and hardware caveats.</x:v>
      </x:c>
      <x:c r="G12" s="14" t="str">
        <x:v>Validated S21 session-1 block1: 66 sentences, 102 magnetometers, 100 Hz; no additional download.</x:v>
      </x:c>
      <x:c r="H12" s="14" t="str">
        <x:v>Nested 76/51/25/16/8-channel subsets using spatial FPS, same-block post-scaling variance, seed-17 random, and first-order controls.</x:v>
      </x:c>
      <x:c r="I12" s="14" t="str">
        <x:v>cache bytes; runtime/RSS; marginal variance share; mean/max spatial coverage; set overlap; exact trial/text/timing identity; no decoder score</x:v>
      </x:c>
      <x:c r="J12" s="14" t="str">
        <x:v>One finite-geometry 102-mag base and 20 subset caches stay under 128 MiB, preserve exact identity and signal slices, and yield candidates without claiming an accuracy winner.</x:v>
      </x:c>
      <x:c r="K12" s="14" t="str">
        <x:v>Done</x:v>
      </x:c>
      <x:c r="L12" s="14" t="str">
        <x:v>P1</x:v>
      </x:c>
      <x:c r="M12" s="14" t="str">
        <x:v>Codex</x:v>
      </x:c>
      <x:c r="N12" s="14" t="str">
        <x:v>M</x:v>
      </x:c>
      <x:c r="O12" s="14" t="str">
        <x:v>Loop 10 100 Hz cache plus validated S21 raw geometry</x:v>
      </x:c>
      <x:c r="P12" s="14" t="str">
        <x:v>Medium</x:v>
      </x:c>
      <x:c r="Q12" s="14" t="str">
        <x:v>Extract one 102-magnetometer 100 Hz S21 base cache with geometry before preload. Run nested 76/51/25/16/8 spatial-FPS, variance, random, and first-order subsets under 128 MiB; report resources, proxy metrics, overlaps, and exact identity without an accuracy or OPM claim.</x:v>
      </x:c>
      <x:c r="R12" s="14" t="str">
        <x:v>Closed 2026-07-10. Base 66x102x617: 10,602,568 B, 12.004 s, 1,679,278,080 B peak RSS. Sweep: 3.492 s and 73,683,875 B. At 16 channels, FPS mean/max coverage was 34.9/69.8 mm with 14.8% variance share; variance was 56.6/140.3 mm with 21.3%; first-order was 102.2/219.3 mm. Exact identities passed; no accuracy winner.</x:v>
      </x:c>
      <x:c r="S12" s="16" t="n">
        <x:f>IF(K12="Done",1,IF(K12="Review",0.8,IF(K12="In Progress",0.5,IF(K12="Blocked",0.2,IF(K12="Parked",0.1,0)))))</x:f>
        <x:v>1</x:v>
      </x:c>
      <x:c r="T12" s="14" t="str">
        <x:f>IF(K12="Blocked","Fix blocker",IF(K12="Review","Review/merge",IF(K12="Parked","Parked",IF(AND(L12="P0",K12="Not Started"),"Next candidate",IF(K12="Done","Closed","Normal")))))</x:f>
        <x:v>Closed</x:v>
      </x:c>
    </x:row>
    <x:row r="13" ht="68" customHeight="1">
      <x:c r="A13" s="14" t="n">
        <x:v>12</x:v>
      </x:c>
      <x:c r="B13" s="14" t="str">
        <x:v>Compression</x:v>
      </x:c>
      <x:c r="C13" s="14" t="str">
        <x:v>Precision + Storage Sweep</x:v>
      </x:c>
      <x:c r="D13" s="14" t="str">
        <x:v>Can we reduce local cache and load cost while bounding signal distortion before any decoder test?</x:v>
      </x:c>
      <x:c r="E13" s="14" t="str">
        <x:v>Add a representation runner for float32, float16, and calibrated integer/serialization variants without changing the sentence-cache contract.</x:v>
      </x:c>
      <x:c r="F13" s="14" t="str">
        <x:v>Storage/distortion report covering bytes, encode/load time, reconstruction error, saturation, and proof limits.</x:v>
      </x:c>
      <x:c r="G13" s="14" t="str">
        <x:v>Fixed Loop 11 102-mag base plus 16-channel FPS and variance candidate caches; no new download.</x:v>
      </x:c>
      <x:c r="H13" s="14" t="str">
        <x:v>Deterministic encode/decode variants over identical arrays; no model training.</x:v>
      </x:c>
      <x:c r="I13" s="14" t="str">
        <x:v>bytes; compression ratio; encode/load time; reconstruction RMSE/max error; saturation; exact metadata identity</x:v>
      </x:c>
      <x:c r="J13" s="14" t="str">
        <x:v>At least three representations preserve schema and trial identity, stay within an explicit output cap, and report distortion without declaring retained decoder accuracy.</x:v>
      </x:c>
      <x:c r="K13" s="14" t="str">
        <x:v>Done</x:v>
      </x:c>
      <x:c r="L13" s="14" t="str">
        <x:v>P1</x:v>
      </x:c>
      <x:c r="M13" s="14" t="str">
        <x:v>Codex</x:v>
      </x:c>
      <x:c r="N13" s="14" t="str">
        <x:v>M</x:v>
      </x:c>
      <x:c r="O13" s="14" t="str">
        <x:v>Loop 11 geometry-aware subset caches</x:v>
      </x:c>
      <x:c r="P13" s="14" t="str">
        <x:v>Medium</x:v>
      </x:c>
      <x:c r="Q13" s="14" t="str">
        <x:v>On fixed Loop 11 base, FPS-16, and variance-16 caches, compare float32, float16, and calibrated integer/serialization variants. Record bytes, encode/load time, reconstruction RMSE/max error, saturation, and metadata identity; do not train or call a format accuracy-preserving.</x:v>
      </x:c>
      <x:c r="R13" s="14" t="str">
        <x:v>Closed 2026-07-10. Five encodings across base/FPS-16/variance-16 produced 15 exact-identity artifacts in 34.4 MiB. Qint16 was 49.84% smaller with worst relative RMSE 0.003693%; qint8 was 80.75% smaller with worst relative RMSE 0.9531%. No clipping or decoder accuracy claim; float32 remains default.</x:v>
      </x:c>
      <x:c r="S13" s="16" t="n">
        <x:f>IF(K13="Done",1,IF(K13="Review",0.8,IF(K13="In Progress",0.5,IF(K13="Blocked",0.2,IF(K13="Parked",0.1,0)))))</x:f>
        <x:v>1</x:v>
      </x:c>
      <x:c r="T13" s="14" t="str">
        <x:f>IF(K13="Blocked","Fix blocker",IF(K13="Review","Review/merge",IF(K13="Parked","Parked",IF(AND(L13="P0",K13="Not Started"),"Next candidate",IF(K13="Done","Closed","Normal")))))</x:f>
        <x:v>Closed</x:v>
      </x:c>
    </x:row>
    <x:row r="14" ht="68" customHeight="1">
      <x:c r="A14" s="14" t="n">
        <x:v>13</x:v>
      </x:c>
      <x:c r="B14" s="14" t="str">
        <x:v>Compression</x:v>
      </x:c>
      <x:c r="C14" s="14" t="str">
        <x:v>Measured Lazy-Backend Gate</x:v>
      </x:c>
      <x:c r="D14" s="14" t="str">
        <x:v>Is current NPZ complete/partial access materially limiting enough to justify another backend?</x:v>
      </x:c>
      <x:c r="E14" s="14" t="str">
        <x:v>Add an isolated NPZ access benchmark with explicit thresholds and only build another backend after a failed gate.</x:v>
      </x:c>
      <x:c r="F14" s="14" t="str">
        <x:v>Backend decision note separating relative partial-read inefficiency from absolute local cost, including a no-build outcome.</x:v>
      </x:c>
      <x:c r="G14" s="14" t="str">
        <x:v>Nine fixed Loop 11/12 real caches; no raw FIF read, new data download, or signal-cache write.</x:v>
      </x:c>
      <x:c r="H14" s="14" t="str">
        <x:v>Fresh one-thread workers for full, 1-row, and 8-row standard/packed NPZ access with exact decoded hashes.</x:v>
      </x:c>
      <x:c r="I14" s="14" t="str">
        <x:v>full/partial median time; peak RSS; compressed bytes; exact identity; implementation overhead</x:v>
      </x:c>
      <x:c r="J14" s="14" t="str">
        <x:v>A backend is built only after a failed declared gate; otherwise NPZ stays default with durable revisit triggers.</x:v>
      </x:c>
      <x:c r="K14" s="14" t="str">
        <x:v>Parked</x:v>
      </x:c>
      <x:c r="L14" s="14" t="str">
        <x:v>P2</x:v>
      </x:c>
      <x:c r="M14" s="14" t="str">
        <x:v>Codex</x:v>
      </x:c>
      <x:c r="N14" s="14" t="str">
        <x:v>M</x:v>
      </x:c>
      <x:c r="O14" s="14" t="str">
        <x:v>Loop 12</x:v>
      </x:c>
      <x:c r="P14" s="14" t="str">
        <x:v>Medium</x:v>
      </x:c>
      <x:c r="Q14" s="14" t="str">
        <x:v>Run the bounded NPZ access gate first. Record relative inefficiency and absolute time/memory/size separately; add no backend without a failed measured gate and exact semantic-parity plan.</x:v>
      </x:c>
      <x:c r="R14" s="14" t="str">
        <x:v>Closed 2026-07-10 as Parked. 9/9 caches passed exact hashes and all budgets. Largest 10.1 MiB; slowest full/partial 60.386/53.634 ms; highest worker RSS 140.6 MiB. One-row member amplification is 66x, but absolute cost is below budget. Zarr was not installed; proceed to Loop 14.</x:v>
      </x:c>
      <x:c r="S14" s="16" t="n">
        <x:f>IF(K14="Done",1,IF(K14="Review",0.8,IF(K14="In Progress",0.5,IF(K14="Blocked",0.2,IF(K14="Parked",0.1,0)))))</x:f>
        <x:v>0.1</x:v>
      </x:c>
      <x:c r="T14" s="14" t="str">
        <x:f>IF(K14="Blocked","Fix blocker",IF(K14="Review","Review/merge",IF(K14="Parked","Parked",IF(AND(L14="P0",K14="Not Started"),"Next candidate",IF(K14="Done","Closed","Normal")))))</x:f>
        <x:v>Parked</x:v>
      </x:c>
    </x:row>
    <x:row r="15" ht="132" customHeight="1">
      <x:c r="A15" s="14" t="n">
        <x:v>14</x:v>
      </x:c>
      <x:c r="B15" s="14" t="str">
        <x:v>Generalization</x:v>
      </x:c>
      <x:c r="C15" s="14" t="str">
        <x:v>Split Protocol v1</x:v>
      </x:c>
      <x:c r="D15" s="14" t="str">
        <x:v>Are repeated sentence texts or fit-on-eval transformations leaking information into validation/test results?</x:v>
      </x:c>
      <x:c r="E15" s="14" t="str">
        <x:v>Add deterministic sentence-text train/validation/test membership, explicit event/session/subject capability labels, membership hashes, and leakage validation.</x:v>
      </x:c>
      <x:c r="F15" s="14" t="str">
        <x:v>Protocol note mapping the official v2 80/10/10 text-group principle to inspectable local metadata and documenting stricter session/subject gates.</x:v>
      </x:c>
      <x:c r="G15" s="14" t="str">
        <x:v>Synthetic fixtures plus current 66-row S21 cache for plumbing only; no new download and no session/subject generalization claim.</x:v>
      </x:c>
      <x:c r="H15" s="14" t="str">
        <x:v>Pure-Python deterministic grouping, duplicate-text containment, train-only fitting rules, and report-level refusal of unsupported split claims.</x:v>
      </x:c>
      <x:c r="I15" s="14" t="str">
        <x:v>partition counts; group overlap; membership hash; unavailable metadata; fit-scope violations</x:v>
      </x:c>
      <x:c r="J15" s="14" t="str">
        <x:v>Every report names algorithm/version/group key; duplicate text never crosses partitions; unsupported session/subject splits fail or report unavailable; train-only fit scope is auditable.</x:v>
      </x:c>
      <x:c r="K15" s="14" t="str">
        <x:v>Done</x:v>
      </x:c>
      <x:c r="L15" s="14" t="str">
        <x:v>P0</x:v>
      </x:c>
      <x:c r="M15" s="14" t="str">
        <x:v>Codex</x:v>
      </x:c>
      <x:c r="N15" s="14" t="str">
        <x:v>S</x:v>
      </x:c>
      <x:c r="O15" s="14" t="str">
        <x:v>Loops 4-13</x:v>
      </x:c>
      <x:c r="P15" s="14" t="str">
        <x:v>Low</x:v>
      </x:c>
      <x:c r="Q15" s="14" t="str">
        <x:v>Keep the strict 55/6/5 membership and five source test rows frozen. The capped second-session gate is resolved by Loop 15; do not retune Loop 14 on either holdout.</x:v>
      </x:c>
      <x:c r="R15" s="14" t="str">
        <x:v>Closed 2026-07-10. Train-only scaler and exact report binding passed. Prior/tiny source-test CER 0.953488/0.947674 remained near-null. The second-session requirement is now resolved in Loop 15, whose fixed model fails transfer.</x:v>
      </x:c>
      <x:c r="S15" s="16" t="n">
        <x:f>IF(K15="Done",1,IF(K15="Review",0.8,IF(K15="In Progress",0.5,IF(K15="Blocked",0.2,IF(K15="Parked",0.1,0)))))</x:f>
        <x:v>1</x:v>
      </x:c>
      <x:c r="T15" s="14" t="str">
        <x:f>IF(K15="Blocked","Fix blocker",IF(K15="Review","Review/merge",IF(K15="Parked","Parked",IF(AND(L15="P0",K15="Not Started"),"Next candidate",IF(K15="Done","Closed","Normal")))))</x:f>
        <x:v>Closed</x:v>
      </x:c>
    </x:row>
    <x:row r="16" ht="210" customHeight="1">
      <x:c r="A16" s="14" t="n">
        <x:v>15</x:v>
      </x:c>
      <x:c r="B16" s="14" t="str">
        <x:v>Generalization</x:v>
      </x:c>
      <x:c r="C16" s="14" t="str">
        <x:v>Normalization + Adapter Baseline</x:v>
      </x:c>
      <x:c r="D16" s="14" t="str">
        <x:v>Can a tiny subject/session adapter improve stability without retraining everything?</x:v>
      </x:c>
      <x:c r="E16" s="14" t="str">
        <x:v>Zero-parameter robust channel-affine adapter and bounded synthetic gate runner.</x:v>
      </x:c>
      <x:c r="F16" s="14" t="str">
        <x:v>Primary-source adaptation note and synthetic proof protocol with explicit limits.</x:v>
      </x:c>
      <x:c r="G16" s="14" t="str">
        <x:v>Synthetic 96-row adapter gate only; real Stage A source-test and session-2 rows remain frozen.</x:v>
      </x:c>
      <x:c r="H16" s="14" t="str">
        <x:v>Source-train robust statistics plus unlabeled target-calibration statistics; validation-only adapter selection and one frozen synthetic holdout evaluation.</x:v>
      </x:c>
      <x:c r="I16" s="14" t="str">
        <x:v>Validation/holdout CER gain; paired bootstrap interval; reconstruction MAE; leakage, runtime, memory, storage, and cache checks.</x:v>
      </x:c>
      <x:c r="J16" s="14" t="str">
        <x:v>Stage A protocol and negative transfer result preserved. Stage B uses a 64/16/16 split, selects only on validation, improves frozen synthetic holdout, and keeps all real holdouts unopened.</x:v>
      </x:c>
      <x:c r="K16" s="14" t="str">
        <x:v>Done</x:v>
      </x:c>
      <x:c r="L16" s="14" t="str">
        <x:v>P2</x:v>
      </x:c>
      <x:c r="M16" s="14" t="str">
        <x:v>Codex</x:v>
      </x:c>
      <x:c r="N16" s="14" t="str">
        <x:v>M</x:v>
      </x:c>
      <x:c r="O16" s="14" t="str">
        <x:v>Loop 14</x:v>
      </x:c>
      <x:c r="P16" s="14" t="str">
        <x:v>Medium</x:v>
      </x:c>
      <x:c r="Q16" s="14" t="str">
        <x:v>Close after the synthetic affine gate passes; preserve real S21 holdouts and move calibration-size plus non-diagonal stress tests to Loop 16.</x:v>
      </x:c>
      <x:c r="R16" s="14" t="str">
        <x:v>Stage B closed 2026-07-10. Validation identity/adapted CER 0.327273/0; holdout identity/adapted/prior 0.344828/0/0.577586. Runtime 2.498 s, one thread, 21,354 artifact bytes, zero cache bytes. Synthetic diagonal shift only; no real adapter-benefit claim. Evidence: docs/LOOP_15_STAGE_B_SYNTHETIC_ADAPTER.md</x:v>
      </x:c>
      <x:c r="S16" s="16" t="n">
        <x:v>1</x:v>
      </x:c>
      <x:c r="T16" s="14" t="str">
        <x:v>Closed</x:v>
      </x:c>
    </x:row>
    <x:row r="17" ht="68" customHeight="1">
      <x:c r="A17" s="14" t="n">
        <x:v>16</x:v>
      </x:c>
      <x:c r="B17" s="14" t="str">
        <x:v>Generalization</x:v>
      </x:c>
      <x:c r="C17" s="14" t="str">
        <x:v>Calibration Curve Study</x:v>
      </x:c>
      <x:c r="D17" s="14" t="str">
        <x:v>How many examples or minutes are needed before performance becomes useful?</x:v>
      </x:c>
      <x:c r="E17" s="14" t="str">
        <x:v>Bounded six-size, three-seed calibration curve; multi-view CTC reuse; non-diagonal and time-varying synthetic shifts.</x:v>
      </x:c>
      <x:c r="F17" s="14" t="str">
        <x:v>Primary-source calibration/drift note with registered selection and explicit failure interpretation.</x:v>
      </x:c>
      <x:c r="G17" s="14" t="str">
        <x:v>Synthetic 96-row source plus independent 48-row unlabeled calibration pool; all real holdouts frozen.</x:v>
      </x:c>
      <x:c r="H17" s="14" t="str">
        <x:v>Validation-only nested 1/2/4/8/16/32-row curve across stationary diagonal, channel mixing, and within-row drift; one post-selection holdout pass.</x:v>
      </x:c>
      <x:c r="I17" s="14" t="str">
        <x:v>CER versus rows/minutes; seed range; paired uncertainty; reconstruction ratio; runtime, RSS, bytes, and leakage checks.</x:v>
      </x:c>
      <x:c r="J17" s="14" t="str">
        <x:v>Six sizes and three seeds complete; calibration texts are disjoint; target labels unused; static affine failure under mixing/time drift is reported; no real cache opened.</x:v>
      </x:c>
      <x:c r="K17" s="14" t="str">
        <x:v>Done</x:v>
      </x:c>
      <x:c r="L17" s="14" t="str">
        <x:v>P2</x:v>
      </x:c>
      <x:c r="M17" s="14" t="str">
        <x:v>Codex</x:v>
      </x:c>
      <x:c r="N17" s="14" t="str">
        <x:v>M</x:v>
      </x:c>
      <x:c r="O17" s="14" t="str">
        <x:v>Loop 15</x:v>
      </x:c>
      <x:c r="P17" s="14" t="str">
        <x:v>Medium</x:v>
      </x:c>
      <x:c r="Q17" s="14" t="str">
        <x:v>Close as synthetic characterization. Keep robust affine scoped to stationary diagonal drift; require a new synthetic gate for covariance or causal rolling adaptation.</x:v>
      </x:c>
      <x:c r="R17" s="14" t="str">
        <x:v>Closed 2026-07-10. Registered stationary selection: 1 synthetic row/1.26 s; holdout median identity/adapted CER 0.422414/0.232759, with 2 gains and 1 tie. Channel mixing 0.568966/0.862069 and time drift 0.439655/0.603448; all 6 stress seeds harmed. 1.897 s, 1 thread, 158,256 bytes, 0 cache bytes. Evidence: docs/LOOP_16_SYNTHETIC_CALIBRATION_CURVE.md</x:v>
      </x:c>
      <x:c r="S17" s="16" t="n">
        <x:v>1</x:v>
      </x:c>
      <x:c r="T17" s="14" t="str">
        <x:v>Closed</x:v>
      </x:c>
    </x:row>
    <x:row r="18" ht="91.5" customHeight="1">
      <x:c r="A18" s="14" t="n">
        <x:v>17</x:v>
      </x:c>
      <x:c r="B18" s="14" t="str">
        <x:v>UX &amp; Reproducibility</x:v>
      </x:c>
      <x:c r="C18" s="14" t="str">
        <x:v>Gradio Demo v1</x:v>
      </x:c>
      <x:c r="D18" s="14" t="str">
        <x:v>Can a smart outsider understand the loop in 60 seconds?</x:v>
      </x:c>
      <x:c r="E18" s="14" t="str">
        <x:v>Upgrade demo to load a cache, show target/prediction, confidence, errors, and signal snippet.</x:v>
      </x:c>
      <x:c r="F18" s="14" t="str">
        <x:v>Demo script with limitations copy that avoids mind-reading claims.</x:v>
      </x:c>
      <x:c r="G18" s="14" t="str">
        <x:v>Existing compact synthetic/report artifacts first; no new raw-data acquisition.</x:v>
      </x:c>
      <x:c r="H18" s="14" t="str">
        <x:v>Local Gradio workflow that reads standardized artifacts and exposes prediction, target, errors, uncertainty, calibration state, and proof posture.</x:v>
      </x:c>
      <x:c r="I18" s="14" t="str">
        <x:v>startup/runtime/RSS; displayed CER/WER; artifact provenance; proof-label completeness; interaction smoke result.</x:v>
      </x:c>
      <x:c r="J18" s="14" t="str">
        <x:v>One local command renders at least one end-to-end example and never labels the noncausal typed-sentence model as real-time or arbitrary-thought decoding.</x:v>
      </x:c>
      <x:c r="K18" s="14" t="str">
        <x:v>Done</x:v>
      </x:c>
      <x:c r="L18" s="14" t="str">
        <x:v>P1</x:v>
      </x:c>
      <x:c r="M18" s="14" t="str">
        <x:v>Codex</x:v>
      </x:c>
      <x:c r="N18" s="14" t="str">
        <x:v>M</x:v>
      </x:c>
      <x:c r="O18" s="14" t="str">
        <x:v>Loops 5-8</x:v>
      </x:c>
      <x:c r="P18" s="14" t="str">
        <x:v>Medium</x:v>
      </x:c>
      <x:c r="Q18" s="14" t="str">
        <x:v>Build an honest local Gradio demo from compact existing artifacts. Show signal snippet, target, prediction, CER/WER, uncertainty, calibration state, and proof posture. Keep heavy dependencies optional, measure startup/RSS, and state that the current model is noncausal and typing-task-specific.</x:v>
      </x:c>
      <x:c r="R18" s="14" t="str">
        <x:v>Closed 2026-07-10. Artifact-backed Gradio 6.20 console exposes 19 held-out synthetic examples, signal, target/prediction, CER/WER/keyboard error, aggregate-only real evidence, calibration state, and SHA-256 provenance. Predictive confidence is explicitly unavailable; decoder is noncausal and typing-task-specific. Final startup audit: 1.644 s, 224,837,632-byte peak RSS, 136,734-byte source cache, all 8 checks pass. Desktop/mobile/browser interactions pass with zero console errors. No network fetch, real model run, raw-data access, or new cache. Evidence: docs/LOOP_17_HONEST_LOCAL_DEMO.md</x:v>
      </x:c>
      <x:c r="S18" s="16" t="n">
        <x:f>IF(K18="Done",1,IF(K18="Review",0.8,IF(K18="In Progress",0.5,IF(K18="Blocked",0.2,IF(K18="Parked",0.1,0)))))</x:f>
        <x:v>1</x:v>
      </x:c>
      <x:c r="T18" s="14" t="str">
        <x:f>IF(K18="Blocked","Fix blocker",IF(K18="Review","Review/merge",IF(K18="Parked","Parked",IF(AND(L18="P0",K18="Not Started"),"Next candidate",IF(K18="Done","Closed","Normal")))))</x:f>
        <x:v>Closed</x:v>
      </x:c>
    </x:row>
    <x:row r="19" ht="100.5" customHeight="1">
      <x:c r="A19" s="14" t="n">
        <x:v>18</x:v>
      </x:c>
      <x:c r="B19" s="14" t="str">
        <x:v>UX &amp; Reproducibility</x:v>
      </x:c>
      <x:c r="C19" s="14" t="str">
        <x:v>Leaderboard + Report Cards</x:v>
      </x:c>
      <x:c r="D19" s="14" t="str">
        <x:v>Can every experiment be compared without spreadsheet archaeology?</x:v>
      </x:c>
      <x:c r="E19" s="14" t="str">
        <x:v>Add standardized run artifacts: metrics.json, config snapshot, report.md, cache metadata.</x:v>
      </x:c>
      <x:c r="F19" s="14" t="str">
        <x:v>Leaderboard schema and sample report card.</x:v>
      </x:c>
      <x:c r="G19" s="14" t="str">
        <x:v>All prior experiment outputs.</x:v>
      </x:c>
      <x:c r="H19" s="14" t="str">
        <x:v>Report generator + local leaderboard.</x:v>
      </x:c>
      <x:c r="I19" s="14" t="str">
        <x:v>runs comparable; missing metadata count.</x:v>
      </x:c>
      <x:c r="J19" s="14" t="str">
        <x:v>At least 3 baselines appear in one leaderboard table.</x:v>
      </x:c>
      <x:c r="K19" s="14" t="str">
        <x:v>Done</x:v>
      </x:c>
      <x:c r="L19" s="14" t="str">
        <x:v>P1</x:v>
      </x:c>
      <x:c r="M19" s="14" t="str">
        <x:v>Codex</x:v>
      </x:c>
      <x:c r="N19" s="14" t="str">
        <x:v>M</x:v>
      </x:c>
      <x:c r="O19" s="14" t="str">
        <x:v>Loops 5-8,14</x:v>
      </x:c>
      <x:c r="P19" s="14" t="str">
        <x:v>Low</x:v>
      </x:c>
      <x:c r="Q19" s="14" t="str">
        <x:v>Build the experiment report-card format and local leaderboard; make missing metadata obvious.</x:v>
      </x:c>
      <x:c r="R19" s="14" t="str">
        <x:v>Closed 2026-07-10. Versioned artifact-only schema indexes 11 saved runs across 6 exact cohorts and 4 method families. Four within-cohort rankings are authorized; event holdout and fit-on-eval smoke stay unranked, and no global winner exists. All required fields pass; missing SemER, cache hashes, code version, method-specific resources, or uncertainty remain explicit. 247,440 source-report bytes produce 58 deterministic core files and 103,789 total bytes in 0.012 s at 21,643,264-byte peak RSS. Replay is byte-identical outside audit.json. Raw/cache/signal reads, model runs, network fetches, and holdout reopenings are zero. Evidence: docs/LOOP_18_VERSIONED_REPORT_CARDS.md</x:v>
      </x:c>
      <x:c r="S19" s="16" t="n">
        <x:f>IF(K19="Done",1,IF(K19="Review",0.8,IF(K19="In Progress",0.5,IF(K19="Blocked",0.2,IF(K19="Parked",0.1,0)))))</x:f>
        <x:v>1</x:v>
      </x:c>
      <x:c r="T19" s="14" t="str">
        <x:f>IF(K19="Blocked","Fix blocker",IF(K19="Review","Review/merge",IF(K19="Parked","Parked",IF(AND(L19="P0",K19="Not Started"),"Next candidate",IF(K19="Done","Closed","Normal")))))</x:f>
        <x:v>Closed</x:v>
      </x:c>
    </x:row>
    <x:row r="20" ht="195" customHeight="1">
      <x:c r="A20" s="14" t="n">
        <x:v>19</x:v>
      </x:c>
      <x:c r="B20" s="14" t="str">
        <x:v>Expansion</x:v>
      </x:c>
      <x:c r="C20" s="14" t="str">
        <x:v>EEG / MOABB Bridge</x:v>
      </x:c>
      <x:c r="D20" s="14" t="str">
        <x:v>Can the same tooling support easier-to-access EEG without pretending it will match MEG?</x:v>
      </x:c>
      <x:c r="E20" s="14" t="str">
        <x:v>Add optional adapter for a small public EEG benchmark or MOABB-style dataset path.</x:v>
      </x:c>
      <x:c r="F20" s="14" t="str">
        <x:v>Comparison note: what transfers and what does not.</x:v>
      </x:c>
      <x:c r="G20" s="14" t="str">
        <x:v>Synthetic first; optional MOABB dataset.</x:v>
      </x:c>
      <x:c r="H20" s="14" t="str">
        <x:v>Dataset adapter interface.</x:v>
      </x:c>
      <x:c r="I20" s="14" t="str">
        <x:v>time to first EEG batch; baseline sanity score.</x:v>
      </x:c>
      <x:c r="J20" s="14" t="str">
        <x:v>Bridge is optional and clearly labeled exploratory.</x:v>
      </x:c>
      <x:c r="K20" s="14" t="str">
        <x:v>Done</x:v>
      </x:c>
      <x:c r="L20" s="14" t="str">
        <x:v>P3</x:v>
      </x:c>
      <x:c r="M20" s="14" t="str">
        <x:v>Codex</x:v>
      </x:c>
      <x:c r="N20" s="14" t="str">
        <x:v>L</x:v>
      </x:c>
      <x:c r="O20" s="14" t="str">
        <x:v>Loops 4-8 stable</x:v>
      </x:c>
      <x:c r="P20" s="14" t="str">
        <x:v>Medium</x:v>
      </x:c>
      <x:c r="Q20" s="14" t="str">
        <x:v>Explore an EEG adapter only after the core MEG loop is stable; keep claims conservative.</x:v>
      </x:c>
      <x:c r="R20" s="14" t="str">
        <x:v>Closed 2026-07-10. Metadata gate passed 13/13; pinned S7 bundle: 4 files / 94,842,381 bytes. Lazy extraction matched 2,534/2,534 triggers at 2.024 ms median residual and wrote a 12,428,800-byte 2197 x 61 x 25 cache. Template/prior label accuracy: 0.009091/0.122727; paired delta interval [-0.134545,-0.093636]. MOABB parked; no new dependency or full EEG tree; EEG/MEG separate. Evidence: docs/LOOP_19_EEG_BRAINVISION_BRIDGE.md</x:v>
      </x:c>
      <x:c r="S20" s="16" t="n">
        <x:f>IF(K20="Done",1,IF(K20="Review",0.8,IF(K20="In Progress",0.5,IF(K20="Blocked",0.2,IF(K20="Parked",0.1,0)))))</x:f>
        <x:v>1</x:v>
      </x:c>
      <x:c r="T20" s="14" t="str">
        <x:f>IF(K20="Blocked","Fix blocker",IF(K20="Review","Review/merge",IF(K20="Parked","Parked",IF(AND(L20="P0",K20="Not Started"),"Next candidate",IF(K20="Done","Closed","Normal")))))</x:f>
        <x:v>Closed</x:v>
      </x:c>
    </x:row>
    <x:row r="21" ht="202.5" customHeight="1">
      <x:c r="A21" s="14" t="n">
        <x:v>20</x:v>
      </x:c>
      <x:c r="B21" s="14" t="str">
        <x:v>Expansion</x:v>
      </x:c>
      <x:c r="C21" s="14" t="str">
        <x:v>Neurotokens / v2-ready Interface</x:v>
      </x:c>
      <x:c r="D21" s="14" t="str">
        <x:v>Can we design a future interface for neural embeddings without depending on unreleased data?</x:v>
      </x:c>
      <x:c r="E21" s="14" t="str">
        <x:v>Add placeholder `NeuroTokenCache` interface and synthetic embedding demo.</x:v>
      </x:c>
      <x:c r="F21" s="14" t="str">
        <x:v>Architecture note: raw windows → features → neurotokens → decoder.</x:v>
      </x:c>
      <x:c r="G21" s="14" t="str">
        <x:v>Synthetic embeddings; future real embeddings.</x:v>
      </x:c>
      <x:c r="H21" s="14" t="str">
        <x:v>Feature extractor interface + mock neurotokens.</x:v>
      </x:c>
      <x:c r="I21" s="14" t="str">
        <x:v>interface stability; demo compatibility.</x:v>
      </x:c>
      <x:c r="J21" s="14" t="str">
        <x:v>No v2-data assumptions; interface can ingest embeddings later.</x:v>
      </x:c>
      <x:c r="K21" s="14" t="str">
        <x:v>Done</x:v>
      </x:c>
      <x:c r="L21" s="14" t="str">
        <x:v>P2</x:v>
      </x:c>
      <x:c r="M21" s="14" t="str">
        <x:v>Codex</x:v>
      </x:c>
      <x:c r="N21" s="14" t="str">
        <x:v>M</x:v>
      </x:c>
      <x:c r="O21" s="14" t="str">
        <x:v>Loops 8,13,18</x:v>
      </x:c>
      <x:c r="P21" s="14" t="str">
        <x:v>Medium</x:v>
      </x:c>
      <x:c r="Q21" s="14" t="str">
        <x:v>Define NeuroTokenCache v0 as a small modality-aware interface over existing arrays and synthetic embeddings. Preserve timebase, channel geometry, masks, split membership, provenance, and resource accounting; assume no unreleased v2 data and train no larger model.</x:v>
      </x:c>
      <x:c r="R21" s="14" t="str">
        <x:v>Closed 2026-07-10. NeuroTokenCache v0 stores continuous [items,time,embedding] vectors with masks, timing, source identity, subject/session, modality, geometry availability, strict split/source hashes, resources, and explicit causality boundaries. A target-free synthetic projection wrote 48 x 16 x 32 float32 in 76,646 bytes under a 4-MiB cap; 553 valid frames; exact 37/4/7 split; payload replay SHA-256 82b478948bdcfd5b2d12643f9f912c192a8977c8f0554b9f073171cf6dfe2709. Zero model, training, real-data, or holdout reads. Not learned tokens, decoding value, or end-to-end streaming. Evidence: docs/LOOP_20_NEUROTOKEN_CACHE_V0.md</x:v>
      </x:c>
      <x:c r="S21" s="16" t="n">
        <x:f>IF(K21="Done",1,IF(K21="Review",0.8,IF(K21="In Progress",0.5,IF(K21="Blocked",0.2,IF(K21="Parked",0.1,0)))))</x:f>
        <x:v>1</x:v>
      </x:c>
      <x:c r="T21" s="14" t="str">
        <x:f>IF(K21="Blocked","Fix blocker",IF(K21="Review","Review/merge",IF(K21="Parked","Parked",IF(AND(L21="P0",K21="Not Started"),"Next candidate",IF(K21="Done","Closed","Normal")))))</x:f>
        <x:v>Closed</x:v>
      </x:c>
    </x:row>
  </x:sheetData>
  <x:conditionalFormatting sqref="K2:K200">
    <x:cfRule type="expression" dxfId="0" priority="1">
      <x:formula>K2="Blocked"</x:formula>
    </x:cfRule>
    <x:cfRule type="expression" dxfId="1" priority="2">
      <x:formula>K2="Done"</x:formula>
    </x:cfRule>
    <x:cfRule type="expression" dxfId="2" priority="3">
      <x:formula>K2="In Progress"</x:formula>
    </x:cfRule>
    <x:cfRule type="expression" dxfId="3" priority="4">
      <x:formula>K2="Review"</x:formula>
    </x:cfRule>
  </x:conditionalFormatting>
  <x:conditionalFormatting sqref="S2:S21">
    <x:cfRule type="dataBar" priority="5">
      <x:dataBar>
        <x:cfvo type="min"/>
        <x:cfvo type="max"/>
        <x:color rgb="FF1F4E78"/>
      </x:dataBar>
      <x:extLst>
        <x:ext xmlns:x14="http://schemas.microsoft.com/office/spreadsheetml/2009/9/main" uri="{B025F937-C7B1-47D3-B67F-A62EFF666E3E}">
          <x14:id>{581B661A-CD74-555C-A393-DCD44A232943}</x14:id>
        </x:ext>
      </x:extLst>
    </x:cfRule>
  </x:conditionalFormatting>
  <x:dataValidations count="5">
    <x:dataValidation type="list" sqref="K2:K200">
      <x:formula1>"Not Started,In Progress,Review,Blocked,Done,Parked"</x:formula1>
    </x:dataValidation>
    <x:dataValidation type="list" sqref="L2:L200">
      <x:formula1>"P0,P1,P2,P3"</x:formula1>
    </x:dataValidation>
    <x:dataValidation type="list" sqref="M2:M200">
      <x:formula1>"Cheick,Codex,GPT,TBD"</x:formula1>
    </x:dataValidation>
    <x:dataValidation type="list" sqref="N2:N200">
      <x:formula1>"XS,S,M,L,XL"</x:formula1>
    </x:dataValidation>
    <x:dataValidation type="list" sqref="P2:P200">
      <x:formula1>"Low,Medium,High,Spike"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c357039deb34bce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5" id="{581B661A-CD74-555C-A393-DCD44A232943}">
            <x14:dataBar gradient="1">
              <x14:cfvo type="min"/>
              <x14:cfvo type="max"/>
              <x14:fillColor rgb="FF1F4E78"/>
            </x14:dataBar>
          </x14:cfRule>
          <xm:sqref>S2:S21</xm:sqref>
        </x14:conditionalFormatting>
      </x14:conditionalFormattings>
    </x:ext>
  </x:extLst>
</x:worksheet>
</file>

<file path=xl/worksheets/sheet3.xml><?xml version="1.0" encoding="utf-8"?>
<x:worksheet xmlns:x="http://schemas.openxmlformats.org/spreadsheetml/2006/main">
  <x:sheetFormatPr defaultRowHeight="15"/>
  <x:cols>
    <x:col min="1" max="1" width="4.130000114440918" hidden="0" customWidth="1"/>
    <x:col min="2" max="2" width="6.380000114440918" hidden="0" customWidth="1"/>
    <x:col min="3" max="3" width="8.630000114440918" hidden="0" customWidth="1"/>
    <x:col min="4" max="4" width="40" hidden="0" customWidth="1"/>
    <x:col min="5" max="5" width="36" hidden="0" customWidth="1"/>
    <x:col min="6" max="6" width="9.25" hidden="0" customWidth="1"/>
    <x:col min="7" max="7" width="7.5" hidden="0" customWidth="1"/>
    <x:col min="8" max="8" width="10.130000114440918" hidden="0" customWidth="1"/>
    <x:col min="9" max="9" width="32" hidden="0" customWidth="1"/>
  </x:cols>
  <x:sheetData>
    <x:row r="1" ht="30" customHeight="1">
      <x:c r="A1" s="6" t="str">
        <x:v>Date</x:v>
      </x:c>
      <x:c r="B1" s="6" t="str">
        <x:v>Loop ID</x:v>
      </x:c>
      <x:c r="C1" s="6" t="str">
        <x:v>Decision</x:v>
      </x:c>
      <x:c r="D1" s="6" t="str">
        <x:v>Rationale</x:v>
      </x:c>
      <x:c r="E1" s="6" t="str">
        <x:v>Evidence / Link</x:v>
      </x:c>
      <x:c r="F1" s="6" t="str">
        <x:v>Reversible?</x:v>
      </x:c>
      <x:c r="G1" s="6" t="str">
        <x:v>Owner</x:v>
      </x:c>
      <x:c r="H1" s="6" t="str">
        <x:v>Next Review</x:v>
      </x:c>
      <x:c r="I1" s="6" t="str">
        <x:v>Notes</x:v>
      </x:c>
    </x:row>
    <x:row r="2" ht="39.599998474121094" hidden="0" customHeight="1">
      <x:c r="A2" s="37" t="str">
        <x:v>2026-06-29</x:v>
      </x:c>
      <x:c r="B2" s="12" t="n">
        <x:v>1</x:v>
      </x:c>
      <x:c r="C2" s="12" t="str">
        <x:v>Proceed</x:v>
      </x:c>
      <x:c r="D2" s="12" t="str">
        <x:v>Loop 1 synthetic smoke acceptance gate met; proceed to Loop 2.</x:v>
      </x:c>
      <x:c r="E2" s="12" t="str">
        <x:v>docs/LOOP_01_PR1_CLOSEOUT_SMOKE.md</x:v>
      </x:c>
      <x:c r="F2" s="12" t="str">
        <x:v>Yes</x:v>
      </x:c>
      <x:c r="G2" s="12" t="str">
        <x:v>Codex</x:v>
      </x:c>
      <x:c r="H2" s="12" t="str">
        <x:v>Loop 2</x:v>
      </x:c>
      <x:c r="I2" s="12"/>
    </x:row>
    <x:row r="3" ht="39.599998474121094" hidden="0" customHeight="1">
      <x:c r="A3" s="37" t="str">
        <x:v>2026-06-29</x:v>
      </x:c>
      <x:c r="B3" s="12" t="n">
        <x:v>2</x:v>
      </x:c>
      <x:c r="C3" s="12" t="str">
        <x:v>Proceed</x:v>
      </x:c>
      <x:c r="D3" s="12" t="str">
        <x:v>Manifest v1 acceptance gate met; proceed to safe tiny-shard selector.</x:v>
      </x:c>
      <x:c r="E3" s="12" t="str">
        <x:v>docs/LOOP_02_SPANISHBCBL_MANIFEST_V1.md</x:v>
      </x:c>
      <x:c r="F3" s="12" t="str">
        <x:v>Yes</x:v>
      </x:c>
      <x:c r="G3" s="12" t="str">
        <x:v>Codex</x:v>
      </x:c>
      <x:c r="H3" s="12" t="str">
        <x:v>Loop 3</x:v>
      </x:c>
      <x:c r="I3" s="12"/>
    </x:row>
    <x:row r="4" ht="39.599998474121094" hidden="0" customHeight="1">
      <x:c r="A4" s="37" t="str">
        <x:v>2026-06-29</x:v>
      </x:c>
      <x:c r="B4" s="12" t="n">
        <x:v>3</x:v>
      </x:c>
      <x:c r="C4" s="12" t="str">
        <x:v>Proceed</x:v>
      </x:c>
      <x:c r="D4" s="12" t="str">
        <x:v>Safe tiny-shard selector acceptance gate met; proceed to cache schema v0.</x:v>
      </x:c>
      <x:c r="E4" s="12" t="str">
        <x:v>docs/LOOP_03_SAFE_TINY_SHARD_SELECTOR.md</x:v>
      </x:c>
      <x:c r="F4" s="12" t="str">
        <x:v>Yes</x:v>
      </x:c>
      <x:c r="G4" s="12" t="str">
        <x:v>Codex</x:v>
      </x:c>
      <x:c r="H4" s="12" t="str">
        <x:v>Loop 4</x:v>
      </x:c>
      <x:c r="I4" s="12" t="str">
        <x:v>Download remains dry-run by default; --execute with unknown sizes requires --allow-unknown-size.</x:v>
      </x:c>
    </x:row>
    <x:row r="5" ht="39.599998474121094" hidden="0" customHeight="1">
      <x:c r="A5" s="37" t="str">
        <x:v>2026-06-29</x:v>
      </x:c>
      <x:c r="B5" s="12" t="n">
        <x:v>4</x:v>
      </x:c>
      <x:c r="C5" s="12" t="str">
        <x:v>Proceed</x:v>
      </x:c>
      <x:c r="D5" s="12" t="str">
        <x:v>Cache schema v0 acceptance gate met; proceed to metrics and error reporting.</x:v>
      </x:c>
      <x:c r="E5" s="12" t="str">
        <x:v>docs/LOOP_04_B2Q_MINI_CACHE_V0.md</x:v>
      </x:c>
      <x:c r="F5" s="12" t="str">
        <x:v>Yes</x:v>
      </x:c>
      <x:c r="G5" s="12" t="str">
        <x:v>Codex</x:v>
      </x:c>
      <x:c r="H5" s="12" t="str">
        <x:v>Loop 5</x:v>
      </x:c>
      <x:c r="I5" s="12" t="str">
        <x:v>Reports should build on load_npz_cache so synthetic and real caches share one contract.</x:v>
      </x:c>
    </x:row>
    <x:row r="6" ht="39.599998474121094" hidden="0" customHeight="1">
      <x:c r="A6" s="37" t="str">
        <x:v>2026-07-01</x:v>
      </x:c>
      <x:c r="B6" s="12" t="n">
        <x:v>5</x:v>
      </x:c>
      <x:c r="C6" s="12" t="str">
        <x:v>Proceed</x:v>
      </x:c>
      <x:c r="D6" s="12" t="str">
        <x:v>Metrics/error report v1 acceptance gate met; proceed to LM-only / prior-only baseline.</x:v>
      </x:c>
      <x:c r="E6" s="12" t="str">
        <x:v>docs/LOOP_05_METRICS_ERROR_REPORT_V1.md</x:v>
      </x:c>
      <x:c r="F6" s="12" t="str">
        <x:v>Yes</x:v>
      </x:c>
      <x:c r="G6" s="12" t="str">
        <x:v>Codex</x:v>
      </x:c>
      <x:c r="H6" s="12" t="str">
        <x:v>Loop 6</x:v>
      </x:c>
      <x:c r="I6" s="12" t="str">
        <x:v>Identity-smoke report verifies plumbing only; no neural/model performance claimed.</x:v>
      </x:c>
    </x:row>
    <x:row r="7" ht="39.599998474121094" hidden="0" customHeight="1">
      <x:c r="A7" s="37" t="str">
        <x:v>2026-07-01</x:v>
      </x:c>
      <x:c r="B7" s="12" t="n">
        <x:v>6</x:v>
      </x:c>
      <x:c r="C7" s="12" t="str">
        <x:v>Proceed</x:v>
      </x:c>
      <x:c r="D7" s="12" t="str">
        <x:v>Prior-only baseline acceptance gate met; proceed to template / nearest-centroid baseline.</x:v>
      </x:c>
      <x:c r="E7" s="12" t="str">
        <x:v>docs/LOOP_06_LM_PRIOR_BASELINE.md</x:v>
      </x:c>
      <x:c r="F7" s="12" t="str">
        <x:v>Yes</x:v>
      </x:c>
      <x:c r="G7" s="12" t="str">
        <x:v>Codex</x:v>
      </x:c>
      <x:c r="H7" s="12" t="str">
        <x:v>Loop 7</x:v>
      </x:c>
      <x:c r="I7" s="12" t="str">
        <x:v>No neural signal used; fit-on-eval mode is smoke-only unless separate train labels are supplied.</x:v>
      </x:c>
    </x:row>
    <x:row r="8" ht="39.599998474121094" hidden="0" customHeight="1">
      <x:c r="A8" s="37" t="str">
        <x:v>2026-07-01</x:v>
      </x:c>
      <x:c r="B8" s="12" t="n">
        <x:v>7</x:v>
      </x:c>
      <x:c r="C8" s="12" t="str">
        <x:v>Proceed</x:v>
      </x:c>
      <x:c r="D8" s="12" t="str">
        <x:v>Template / nearest-centroid baseline acceptance gate met; proceed to tiny Conv / EEGNet-style baseline.</x:v>
      </x:c>
      <x:c r="E8" s="12" t="str">
        <x:v>docs/LOOP_07_TEMPLATE_BASELINE.md</x:v>
      </x:c>
      <x:c r="F8" s="12" t="str">
        <x:v>Yes</x:v>
      </x:c>
      <x:c r="G8" s="12" t="str">
        <x:v>Codex</x:v>
      </x:c>
      <x:c r="H8" s="12" t="str">
        <x:v>Loop 8</x:v>
      </x:c>
      <x:c r="I8" s="12" t="str">
        <x:v>Uses neural windows but no deep learning; perfect synthetic score is expected from toy class bumps.</x:v>
      </x:c>
    </x:row>
    <x:row r="9" ht="39.599998474121094" hidden="0" customHeight="1">
      <x:c r="A9" s="37" t="str">
        <x:v>2026-07-01</x:v>
      </x:c>
      <x:c r="B9" s="12" t="n">
        <x:v>8</x:v>
      </x:c>
      <x:c r="C9" s="12" t="str">
        <x:v>Proceed</x:v>
      </x:c>
      <x:c r="D9" s="12" t="str">
        <x:v>Tiny Conv baseline acceptance gate met for optional-ML scaffold; proceed to CTC character-decoder scaffold.</x:v>
      </x:c>
      <x:c r="E9" s="12" t="str">
        <x:v>docs/LOOP_08_TINY_CONV_BASELINE.md</x:v>
      </x:c>
      <x:c r="F9" s="12" t="str">
        <x:v>Yes</x:v>
      </x:c>
      <x:c r="G9" s="12" t="str">
        <x:v>Codex</x:v>
      </x:c>
      <x:c r="H9" s="12" t="str">
        <x:v>Loop 9</x:v>
      </x:c>
      <x:c r="I9" s="12" t="str">
        <x:v>Torch not installed locally; training smoke tests are present and skipped until .[ml] is available.</x:v>
      </x:c>
    </x:row>
    <x:row r="10" ht="105.5999984741211" hidden="0" customHeight="1">
      <x:c r="A10" s="37" t="str">
        <x:v>2026-07-10</x:v>
      </x:c>
      <x:c r="B10" s="12" t="str">
        <x:v>8.5</x:v>
      </x:c>
      <x:c r="C10" s="12" t="str">
        <x:v>Proceed to a resource-bounded continuous-sentence CTC scaffold.</x:v>
      </x:c>
      <x:c r="D10" s="12" t="str">
        <x:v>S21 block1 gives a strict 66/66 identity trial mapping, while the official v2 architecture confirms continuous-window CTC is the next decoder layer.</x:v>
      </x:c>
      <x:c r="E10" s="12" t="str">
        <x:v>docs/REAL_DATA_VALIDATION_2026-07-10.md</x:v>
      </x:c>
      <x:c r="F10" s="12" t="str">
        <x:v>Yes</x:v>
      </x:c>
      <x:c r="G10" s="12" t="str">
        <x:v>Codex</x:v>
      </x:c>
      <x:c r="H10" s="12" t="str">
        <x:v>Loop 9</x:v>
      </x:c>
      <x:c r="I10" s="12" t="str">
        <x:v>Gate cleared for one real block only. Official v2 English data remains embargoed; local work is a SpanishBCBL surrogate, not a reproduction. Sources: https://github.com/facebookresearch/brain2qwerty and https://facebookresearch.github.io/brain2qwerty/assets/brain2qwerty_v2.pdf</x:v>
      </x:c>
    </x:row>
    <x:row r="11" ht="52.79999923706055" hidden="0" customHeight="1">
      <x:c r="A11" s="37" t="str">
        <x:v>2026-07-10</x:v>
      </x:c>
      <x:c r="B11" s="12" t="n">
        <x:v>9</x:v>
      </x:c>
      <x:c r="C11" s="12" t="str">
        <x:v>Proceed</x:v>
      </x:c>
      <x:c r="D11" s="12" t="str">
        <x:v>Sentence-cache v0, synthetic CTC, 20-seed stability, no-brain comparison, and the real S21 resource smoke satisfy Loop 9 without inventing a real model score.</x:v>
      </x:c>
      <x:c r="E11" s="12" t="str">
        <x:v>docs/LOOP_09_CONTINUOUS_SENTENCE_CTC.md</x:v>
      </x:c>
      <x:c r="F11" s="12" t="str">
        <x:v>Yes</x:v>
      </x:c>
      <x:c r="G11" s="12" t="str">
        <x:v>Codex</x:v>
      </x:c>
      <x:c r="H11" s="12" t="str">
        <x:v>Loop 10</x:v>
      </x:c>
      <x:c r="I11" s="12" t="str">
        <x:v>Real cache: 66x16x617, 1.6 MB, 6.24 sec, about 515 MiB peak RSS. Synthetic eval CER 0.0 vs prior CER 0.7068. Next: 100/50/25 Hz extraction sweep.</x:v>
      </x:c>
    </x:row>
    <x:row r="12" ht="171.60000610351562" hidden="0" customHeight="1">
      <x:c r="A12" s="37" t="str">
        <x:v>2026-07-10</x:v>
      </x:c>
      <x:c r="B12" s="12" t="n">
        <x:v>10</x:v>
      </x:c>
      <x:c r="C12" s="12" t="str">
        <x:v>Proceed without rate selection</x:v>
      </x:c>
      <x:c r="D12" s="12" t="str">
        <x:v>The isolated 100/50/25 Hz resource and CTC-length gate is complete; lower rates shrink caches but remove bandwidth, and the official temporal reducer is structurally incompatible with 25 Hz on this block.</x:v>
      </x:c>
      <x:c r="E12" s="12" t="str">
        <x:v>docs/LOOP_10_SAMPLING_RATE_SWEEP.md</x:v>
      </x:c>
      <x:c r="F12" s="12" t="str">
        <x:v>Yes</x:v>
      </x:c>
      <x:c r="G12" s="12" t="str">
        <x:v>Codex</x:v>
      </x:c>
      <x:c r="H12" s="12" t="str">
        <x:v>Loop 11</x:v>
      </x:c>
      <x:c r="I12" s="12" t="str">
        <x:v>Exact 66-row identity at all rates. Cache bytes: 1,663,209 / 846,334 / 431,451. Official v2 kernel16/stride4 feasibility: 66/66, 66/66, 0/66. No accuracy winner. Sources: https://github.com/facebookresearch/brain2qwerty/blob/3bf5a4099ca0d23bbe994b2287905760236e56e0/brain2qwerty_v2/config/model_config.py and https://github.com/facebookresearch/brain2qwerty/blob/3bf5a4099ca0d23bbe994b2287905760236e56e0/brain2qwerty_v2/utils.py</x:v>
      </x:c>
    </x:row>
    <x:row r="13" ht="171.60000610351562" hidden="0" customHeight="1">
      <x:c r="A13" s="37" t="n">
        <x:v>46213</x:v>
      </x:c>
      <x:c r="B13" s="12" t="n">
        <x:v>11</x:v>
      </x:c>
      <x:c r="C13" s="12" t="str">
        <x:v>Proceed with two sensor-selection candidates; no channel-count winner</x:v>
      </x:c>
      <x:c r="D13" s="12" t="str">
        <x:v>The resource/proxy gate passed, but spatial FPS and same-block variance optimize different evidence. Carry both into future held-out decoder evaluation and retain random/first controls.</x:v>
      </x:c>
      <x:c r="E13" s="12" t="str">
        <x:v>docs/LOOP_11_CHANNEL_SENSOR_SUBSET_SWEEP.md</x:v>
      </x:c>
      <x:c r="F13" s="12" t="str">
        <x:v>Yes</x:v>
      </x:c>
      <x:c r="G13" s="12" t="str">
        <x:v>Codex</x:v>
      </x:c>
      <x:c r="H13" s="12" t="str">
        <x:v>Loop 12</x:v>
      </x:c>
      <x:c r="I13" s="12" t="str">
        <x:v>Base: 102 magnetometers, 66x102x617, 10.1 MiB, 12.004 s, 1.6 GiB peak RSS. Twenty subsets used 70.3 MiB and exact identities passed. Official v2 retrained random 306-to-230/153/76 subsets; this local one-block proxy is not an accuracy reproduction. Sources: https://facebookresearch.github.io/brain2qwerty/assets/brain2qwerty_v2.pdf and https://github.com/facebookresearch/brain2qwerty/blob/3bf5a4099ca0d23bbe994b2287905760236e56e0/brain2qwerty_v2/config/model_config.py</x:v>
      </x:c>
    </x:row>
    <x:row r="14" ht="132" customHeight="1">
      <x:c r="A14" s="40" t="n">
        <x:v>46213</x:v>
      </x:c>
      <x:c r="B14" s="14" t="n">
        <x:v>12</x:v>
      </x:c>
      <x:c r="C14" s="14" t="str">
        <x:v>Proceed with qint16 and qint8 candidates; keep float32 default</x:v>
      </x:c>
      <x:c r="D14" s="14" t="str">
        <x:v>All 15 representations preserve exact semantic identity with no source values outside the fixed range. Qint16 is the lowest-distortion packed candidate and qint8 is the smallest; no decoder was evaluated.</x:v>
      </x:c>
      <x:c r="E14" s="14" t="str">
        <x:v>docs/LOOP_12_PRECISION_STORAGE_SWEEP.md</x:v>
      </x:c>
      <x:c r="F14" s="14" t="str">
        <x:v>Yes</x:v>
      </x:c>
      <x:c r="G14" s="14" t="str">
        <x:v>Codex</x:v>
      </x:c>
      <x:c r="H14" s="14" t="str">
        <x:v>Loop 13/14</x:v>
      </x:c>
      <x:c r="I14" s="14" t="str">
        <x:v>Qint16: 49.84% smaller, worst relative RMSE 0.003693%. Qint8: 80.75% smaller, worst relative RMSE 0.9531%. Packed caches decode to float32, so this is not integer-only inference or retained accuracy. Sources: https://facebookresearch.github.io/brain2qwerty/assets/brain2qwerty_v2.pdf and https://arxiv.org/abs/1905.12322</x:v>
      </x:c>
    </x:row>
    <x:row r="15" ht="96" customHeight="1">
      <x:c r="A15" s="37" t="n">
        <x:v>46213</x:v>
      </x:c>
      <x:c r="B15" s="12" t="n">
        <x:v>13</x:v>
      </x:c>
      <x:c r="C15" s="12" t="str">
        <x:v>Park optional Zarr; proceed to Loop 14</x:v>
      </x:c>
      <x:c r="D15" s="12" t="str">
        <x:v>Nine current real standard/packed caches passed exact decoded-signal identity and declared time, memory, and size budgets. Partial NPZ reads are inefficient but not a material current bottleneck.</x:v>
      </x:c>
      <x:c r="E15" s="12" t="str">
        <x:v>docs/LOOP_13_LAZY_BACKEND_GATE.md</x:v>
      </x:c>
      <x:c r="F15" s="12" t="str">
        <x:v>Yes</x:v>
      </x:c>
      <x:c r="G15" s="12" t="str">
        <x:v>Codex</x:v>
      </x:c>
      <x:c r="H15" s="12" t="str">
        <x:v>Loop 14 / threshold trigger</x:v>
      </x:c>
      <x:c r="I15" s="12" t="str">
        <x:v>Largest cache 10.1 MiB; slowest full/partial medians 60.386/53.634 ms; highest worker RSS 140.6 MiB. One-row member amplification 66x. Zarr not installed. Sources: https://numpy.org/doc/stable/reference/generated/numpy.savez_compressed.html and https://zarr-specs.readthedocs.io/en/latest/v3/chunk-grids/regular-grid/</x:v>
      </x:c>
    </x:row>
    <x:row r="16" ht="108" customHeight="1">
      <x:c r="A16" s="37" t="n">
        <x:v>46213</x:v>
      </x:c>
      <x:c r="B16" s="12" t="n">
        <x:v>14</x:v>
      </x:c>
      <x:c r="C16" s="12" t="str">
        <x:v>Close strict split protocol; keep tiny CTC conclusion near-null</x:v>
      </x:c>
      <x:c r="D16" s="12" t="str">
        <x:v>Train-only scaling and exact report binding pass. Tiny CTC improves by one character edit on five test rows, but poor train fit and a paired interval crossing zero do not show neural advantage.</x:v>
      </x:c>
      <x:c r="E16" s="12" t="str">
        <x:v>docs/LOOP_14_SPLIT_PROTOCOL_V1.md</x:v>
      </x:c>
      <x:c r="F16" s="12" t="str">
        <x:v>Yes</x:v>
      </x:c>
      <x:c r="G16" s="12" t="str">
        <x:v>Codex</x:v>
      </x:c>
      <x:c r="H16" s="12" t="str">
        <x:v>Capped second-session data gate</x:v>
      </x:c>
      <x:c r="I16" s="12" t="str">
        <x:v>55/6/5 rows. Prior/tiny CER 0.953488/0.947674. Delta -0.005814; bootstrap CI [-0.197279, 0.130653]; wins/ties/losses 2/0/3. No session, subject, real-time, or thought-reading claim. Source: https://facebookresearch.github.io/brain2qwerty/assets/brain2qwerty_v2.pdf</x:v>
      </x:c>
    </x:row>
    <x:row r="17" ht="112" customHeight="1">
      <x:c r="A17" s="37" t="n">
        <x:v>46213</x:v>
      </x:c>
      <x:c r="B17" s="12" t="n">
        <x:v>15</x:v>
      </x:c>
      <x:c r="C17" s="12" t="str">
        <x:v>Freeze session 2 after the fixed cross-session baseline fails</x:v>
      </x:c>
      <x:c r="D17" s="12" t="str">
        <x:v>The complete session-2 acquisition, nonempty-MAT trial map, and frozen source-train scaler pass. The unchanged tiny CTC is materially worse than the no-signal prior, so session 2 is consumed evaluation data rather than an adapter tuning set.</x:v>
      </x:c>
      <x:c r="E17" s="12" t="str">
        <x:v>docs/LOOP_15_SAME_SUBJECT_CROSS_SESSION.md</x:v>
      </x:c>
      <x:c r="F17" s="12" t="str">
        <x:v>Yes</x:v>
      </x:c>
      <x:c r="G17" s="12" t="str">
        <x:v>Codex</x:v>
      </x:c>
      <x:c r="H17" s="12" t="str">
        <x:v>Synthetic adapter gate / pre-registered holdout</x:v>
      </x:c>
      <x:c r="I17" s="12" t="str">
        <x:v>Pinned acquisition: 2,516,384,765 bytes, one worker. MAT gaps [54,58,60]. Source 55 train; 6 validation and 5 test unused. Session-2 rows 63. Tiny/prior CER 0.917949/0.775458; delta +0.142491; paired CI [+0.119386,+0.166069]; wins/ties/losses 3/2/58. Dataset: https://huggingface.co/datasets/bcbl190626/SpanishBCBL</x:v>
      </x:c>
    </x:row>
    <x:row r="18" ht="96" customHeight="1">
      <x:c r="A18" s="40" t="n">
        <x:v>46213</x:v>
      </x:c>
      <x:c r="B18" s="14" t="n">
        <x:v>15</x:v>
      </x:c>
      <x:c r="C18" s="14" t="str">
        <x:v>Close Loop 15 after the bounded synthetic adapter mechanism gate passes</x:v>
      </x:c>
      <x:c r="D18" s="14" t="str">
        <x:v>A zero-parameter robust channel-affine adapter reverses the registered diagonal gain/offset shift under validation-only selection. This establishes the mechanism and implementation path without reopening real evaluation data.</x:v>
      </x:c>
      <x:c r="E18" s="14" t="str">
        <x:v>docs/LOOP_15_STAGE_B_SYNTHETIC_ADAPTER.md</x:v>
      </x:c>
      <x:c r="F18" s="14" t="str">
        <x:v>Yes</x:v>
      </x:c>
      <x:c r="G18" s="14" t="str">
        <x:v>Codex</x:v>
      </x:c>
      <x:c r="H18" s="14" t="str">
        <x:v>Loop 16 calibration-size and non-diagonal stress study</x:v>
      </x:c>
      <x:c r="I18" s="14" t="str">
        <x:v>Synthetic 64/16/16 rows. Validation identity/adapted CER 0.327273/0; holdout identity/adapted/prior 0.344828/0/0.577586; paired interval [-0.408696,-0.286957]. Runtime 2.498 s, one thread, zero cache bytes. No real adapter-benefit claim. Sources: https://arxiv.org/abs/1603.04779 and https://doi.org/10.1109/TBME.2019.2913914</x:v>
      </x:c>
    </x:row>
    <x:row r="19" ht="96" customHeight="1">
      <x:c r="A19" s="40" t="n">
        <x:v>46213</x:v>
      </x:c>
      <x:c r="B19" s="14" t="n">
        <x:v>16</x:v>
      </x:c>
      <x:c r="C19" s="14" t="str">
        <x:v>Keep robust affine inside its measured stationary-diagonal scope</x:v>
      </x:c>
      <x:c r="D19" s="14" t="str">
        <x:v>The registered synthetic curve finds a small stationary-diagonal calibration point but static independent-channel statistics harm every channel-mixing and within-row-drift holdout seed.</x:v>
      </x:c>
      <x:c r="E19" s="14" t="str">
        <x:v>docs/LOOP_16_SYNTHETIC_CALIBRATION_CURVE.md</x:v>
      </x:c>
      <x:c r="F19" s="14" t="str">
        <x:v>Yes</x:v>
      </x:c>
      <x:c r="G19" s="14" t="str">
        <x:v>Codex</x:v>
      </x:c>
      <x:c r="H19" s="14" t="str">
        <x:v>Loop 17 honest demo plus a future synthetic covariance/causal drift gate</x:v>
      </x:c>
      <x:c r="I19" s="14" t="str">
        <x:v>Six sizes x three seeds x three shifts. Selected 1 synthetic row/1.26 s by median validation rule; stationary holdout identity/adapted CER 0.422414/0.232759 with one tie. Mixing 0.568966/0.862069; time drift 0.439655/0.603448. One thread, 1.897 s, 158,256 bytes, zero cache bytes. Sources: https://doi.org/10.1609/aaai.v30i1.10306 and https://doi.org/10.1186/1687-6180-2012-129</x:v>
      </x:c>
    </x:row>
    <x:row r="20">
      <x:c r="A20" s="37" t="n">
        <x:v>46213</x:v>
      </x:c>
      <x:c r="B20" s="12" t="n">
        <x:v>17</x:v>
      </x:c>
      <x:c r="C20" s="12" t="str">
        <x:v>Close the honest local demo and proceed to report-card standardization</x:v>
      </x:c>
      <x:c r="D20" s="12" t="str">
        <x:v>The console reproduces compact saved artifacts, exposes uncertainty and noncausal scope, and keeps real results aggregate-only. Browser interaction and responsive layout pass without opening either observed real holdout.</x:v>
      </x:c>
      <x:c r="E20" s="12" t="str">
        <x:v>docs/LOOP_17_HONEST_LOCAL_DEMO.md</x:v>
      </x:c>
      <x:c r="F20" s="12" t="str">
        <x:v>Yes</x:v>
      </x:c>
      <x:c r="G20" s="12" t="str">
        <x:v>Codex</x:v>
      </x:c>
      <x:c r="H20" s="12" t="str">
        <x:v>Loop 18 leaderboard + report cards</x:v>
      </x:c>
      <x:c r="I20" s="12" t="str">
        <x:v>19 synthetic examples; 27 UI components; 4 callbacks; 1.644 s startup; 224,837,632-byte peak RSS; 136,734-byte source cache. All 8 audit checks pass. 1440x1000 and 390x844 QA pass with no console errors. Gradio remains optional; demo dependency added about 178,756 KiB to the existing environment. Sources: https://www.gradio.app/docs/gradio/blocks and https://facebookresearch.github.io/brain2qwerty/</x:v>
      </x:c>
    </x:row>
    <x:row r="21" ht="94.5" customHeight="1">
      <x:c r="A21" s="37" t="n">
        <x:v>46213</x:v>
      </x:c>
      <x:c r="B21" s="12" t="n">
        <x:v>18</x:v>
      </x:c>
      <x:c r="C21" s="12" t="str">
        <x:v>Rank only inside exact evidence cohorts</x:v>
      </x:c>
      <x:c r="D21" s="12" t="str">
        <x:v>Eleven historical runs can be indexed without retraining, but event versus sentence, synthetic versus real, and held-out versus fit-on-eval results are not globally comparable. CER and WER also disagree in the cross-session cohort.</x:v>
      </x:c>
      <x:c r="E21" s="12" t="str">
        <x:v>docs/LOOP_18_VERSIONED_REPORT_CARDS.md</x:v>
      </x:c>
      <x:c r="F21" s="12" t="str">
        <x:v>Yes</x:v>
      </x:c>
      <x:c r="G21" s="12" t="str">
        <x:v>Codex</x:v>
      </x:c>
      <x:c r="H21" s="12" t="str">
        <x:v>Loop 19 bounded EEG bridge discovery gate</x:v>
      </x:c>
      <x:c r="I21" s="12" t="str">
        <x:v>11 cards; 6 cohorts; 4 ranked cohorts; 58 deterministic core files; 103,789 bytes; 0.012 s; 21,643,264-byte peak RSS; zero raw/cache/signal reads, model runs, network fetches, or holdout reopenings. Sources: https://research.google/pubs/model-cards-for-model-reporting/ ; https://mlflow.org/docs/latest/tracking/ ; https://facebookresearch.github.io/brain2qwerty/assets/brain2qwerty_v2.pdf</x:v>
      </x:c>
    </x:row>
    <x:row r="22" ht="106.5" customHeight="1">
      <x:c r="A22" s="37" t="n">
        <x:v>46213</x:v>
      </x:c>
      <x:c r="B22" s="12" t="n">
        <x:v>19</x:v>
      </x:c>
      <x:c r="C22" s="12" t="str">
        <x:v>Keep a native task-matched EEG bridge; record the first baseline as negative</x:v>
      </x:c>
      <x:c r="D22" s="12" t="str">
        <x:v>One pinned 94,842,381-byte BrainVision-plus-MAT bundle validates complete selection, exact trigger-code alignment, lazy extraction, and cache reuse without MOABB. The minimally processed nearest-centroid event classifier is worse than its train-only prior, so bridge success must not become a decoder or hardware claim.</x:v>
      </x:c>
      <x:c r="E22" s="12" t="str">
        <x:v>docs/LOOP_19_EEG_BRAINVISION_BRIDGE.md</x:v>
      </x:c>
      <x:c r="F22" s="12" t="str">
        <x:v>Yes</x:v>
      </x:c>
      <x:c r="G22" s="12" t="str">
        <x:v>Codex</x:v>
      </x:c>
      <x:c r="H22" s="12" t="str">
        <x:v>Loop 20 modality-aware NeuroTokenCache v0 contract</x:v>
      </x:c>
      <x:c r="I22" s="12" t="str">
        <x:v>2,534/2,534 trigger match; 2.024 ms median residual; 2,197 x 61 x 25 cache; 12,428,800 bytes; template/prior label accuracy 0.009091/0.122727; paired interval [-0.134545,-0.093636]. Sources: https://huggingface.co/datasets/bcbl190626/SpanishBCBL ; https://www.nature.com/articles/s41593-026-02303-2 ; https://github.com/facebookresearch/brain2qwerty/blob/3bf5a4099ca0d23bbe994b2287905760236e56e0/studies/spanishbcbl.py ; https://mne.tools/stable/generated/mne.io.read_raw_brainvision.html</x:v>
      </x:c>
    </x:row>
    <x:row r="23" ht="118.5" customHeight="1">
      <x:c r="A23" s="37" t="n">
        <x:v>46213</x:v>
      </x:c>
      <x:c r="B23" s="12" t="n">
        <x:v>20</x:v>
      </x:c>
      <x:c r="C23" s="12" t="str">
        <x:v>Make neurotokens a continuous interface before making them a model claim</x:v>
      </x:c>
      <x:c r="D23" s="12" t="str">
        <x:v>The public v2 encoder exposes time-major frame embeddings, but its reference path is noncausal and its English training data is unavailable. A target-free synthetic projection can validate shape, timing, provenance, split, geometry, resource, and serialization contracts without pretending the vectors are learned or useful for decoding.</x:v>
      </x:c>
      <x:c r="E23" s="12" t="str">
        <x:v>docs/LOOP_20_NEUROTOKEN_CACHE_V0.md</x:v>
      </x:c>
      <x:c r="F23" s="12" t="str">
        <x:v>Yes</x:v>
      </x:c>
      <x:c r="G23" s="12" t="str">
        <x:v>Codex</x:v>
      </x:c>
      <x:c r="H23" s="12" t="str">
        <x:v>Synthetic causal chunk/replay contract before a learned encoder or decoder</x:v>
      </x:c>
      <x:c r="I23" s="12" t="str">
        <x:v>48 x 16 x 32 float32; 553 valid frames; 76,646 bytes; 0.09 s; 44,564,480-byte peak RSS; exact 37/4/7 split; exact payload replay; zero model/training/real/holdout reads. Sources: https://github.com/facebookresearch/brain2qwerty/tree/3bf5a4099ca0d23bbe994b2287905760236e56e0/brain2qwerty_v2 ; https://facebookresearch.github.io/brain2qwerty/assets/brain2qwerty_v2.pdf ; https://papers.neurips.cc/paper_files/paper/2024/file/a64d53074d011e49af1dfc72c332fe4b-Paper-Datasets_and_Benchmarks_Track.pdf</x:v>
      </x:c>
    </x:row>
    <x:row r="24" ht="129" customHeight="1">
      <x:c r="A24" s="37" t="n">
        <x:v>46213</x:v>
      </x:c>
      <x:c r="B24" s="12" t="n">
        <x:v>21</x:v>
      </x:c>
      <x:c r="C24" s="12" t="str">
        <x:v>Separate causal frame production from transport and text latency</x:v>
      </x:c>
      <x:c r="D24" s="12" t="str">
        <x:v>Five registered synthetic chunk schedules preserve one bounded zero-lookahead frame stream, but transport scheduling still adds 0 to 610 ms and no decoder emits text. Producer causality, scheduling delay, decoder emission, and end-to-end latency therefore remain separate proof surfaces.</x:v>
      </x:c>
      <x:c r="E24" s="12" t="str">
        <x:v>docs/LOOP_21_CAUSAL_CHUNK_REPLAY.md</x:v>
      </x:c>
      <x:c r="F24" s="12" t="str">
        <x:v>Yes</x:v>
      </x:c>
      <x:c r="G24" s="12" t="str">
        <x:v>Codex</x:v>
      </x:c>
      <x:c r="H24" s="12" t="str">
        <x:v>Loop 22 tiny learned causal encoder on synthetic train rows only</x:v>
      </x:c>
      <x:c r="I24" s="12" t="str">
        <x:v>5/5 schedules; 553 frames; exact frame/timestamps; bitwise schedule payload 78dc8b5298064216caa854c884a69834c0959566d9ede903d44ae1cd28562389; max Loop 20 difference 9.536743e-7 under 1e-6 tolerance; zero right context; 300-byte state; 195,520-byte bounded working core; 0.135024 s; 46,301,184-byte peak RSS; no targets/models/training/decoder/real reads. Sources: https://facebookresearch.github.io/brain2qwerty/assets/brain2qwerty_v2.pdf ; https://ai.meta.com/research/publications/emformer-efficient-memory-transformer-based-acoustic-model-for-low-latency-streaming-speech-recognition/ ; https://research.google/pubs/fastemit-low-latency-streaming-asr-with-sequence-level-emission-regularization/</x:v>
      </x:c>
    </x:row>
    <x:row r="25" ht="108.75" customHeight="1">
      <x:c r="A25" s="37" t="n">
        <x:v>46213</x:v>
      </x:c>
      <x:c r="B25" s="12" t="n">
        <x:v>22</x:v>
      </x:c>
      <x:c r="C25" s="12" t="str">
        <x:v>Proceed to a separately preregistered streaming CTC decoder gate</x:v>
      </x:c>
      <x:c r="D25" s="12" t="str">
        <x:v>The 1,130-parameter synthetic causal encoder passes its frozen test and all five replay schedules without real data or text decoding.</x:v>
      </x:c>
      <x:c r="E25" s="12" t="str">
        <x:v>docs/LOOP_22_TINY_CAUSAL_ENCODER.md</x:v>
      </x:c>
      <x:c r="F25" s="12" t="str">
        <x:v>No</x:v>
      </x:c>
      <x:c r="G25" s="12" t="str">
        <x:v>Codex</x:v>
      </x:c>
      <x:c r="H25" s="12" t="str">
        <x:v>Loop 23</x:v>
      </x:c>
      <x:c r="I25" s="12" t="str">
        <x:v>Seed 2203 is consumed. Perfect generated-motif classification is a mechanism check, not neural or text decoding.</x:v>
      </x:c>
    </x:row>
    <x:row r="26" ht="108.75" customHeight="1">
      <x:c r="A26" s="37" t="n">
        <x:v>46213</x:v>
      </x:c>
      <x:c r="B26" s="12" t="n">
        <x:v>23</x:v>
      </x:c>
      <x:c r="C26" s="12" t="str">
        <x:v>Park after the frozen exact-sequence gate fails</x:v>
      </x:c>
      <x:c r="D26" s="12" t="str">
        <x:v>Validation passes, but the once-opened seed-2303 test reaches 5/8 exact below the required 6/8; every error is one false tail symbol.</x:v>
      </x:c>
      <x:c r="E26" s="12" t="str">
        <x:v>docs/LOOP_23_STREAMING_CTC_DECODER.md</x:v>
      </x:c>
      <x:c r="F26" s="12" t="str">
        <x:v>No</x:v>
      </x:c>
      <x:c r="G26" s="12" t="str">
        <x:v>Codex</x:v>
      </x:c>
      <x:c r="H26" s="12" t="str">
        <x:v>Fresh calibration preregistration</x:v>
      </x:c>
      <x:c r="I26" s="12" t="str">
        <x:v>Seed 2303 is consumed. Do not trim, tune, calibrate, or design an endpoint from its outputs.</x:v>
      </x:c>
    </x:row>
    <x:row r="27" ht="108.75" customHeight="1">
      <x:c r="A27" s="37" t="n">
        <x:v>46213</x:v>
      </x:c>
      <x:c r="B27" s="12" t="n">
        <x:v>23.5</x:v>
      </x:c>
      <x:c r="C27" s="12" t="str">
        <x:v>Close supervised synthetic calibration and proceed to Loop 24 preregistration only</x:v>
      </x:c>
      <x:c r="D27" s="12" t="str">
        <x:v>One preregistered train-frame blank intercept takes the once-opened seed-2353 test from 7/16 to 16/16 exact with CER 0, nine corrections, and zero regressions.</x:v>
      </x:c>
      <x:c r="E27" s="12" t="str">
        <x:v>docs/LOOP_23_5_BLANK_INTERCEPT_CALIBRATION.md</x:v>
      </x:c>
      <x:c r="F27" s="12" t="str">
        <x:v>No</x:v>
      </x:c>
      <x:c r="G27" s="12" t="str">
        <x:v>Codex</x:v>
      </x:c>
      <x:c r="H27" s="12" t="str">
        <x:v>Loop 24 preregistration</x:v>
      </x:c>
      <x:c r="I27" s="12" t="str">
        <x:v>Seed 2353 is consumed. Replay, calibration, control, bootstrap, access, and resource gates pass; this remains supervised synthetic evidence only.</x:v>
      </x:c>
    </x:row>
    <x:row r="28" ht="131.25" customHeight="1">
      <x:c r="A28" s="37" t="n">
        <x:v>46213</x:v>
      </x:c>
      <x:c r="B28" s="12" t="str">
        <x:v>RW0</x:v>
      </x:c>
      <x:c r="C28" s="12" t="str">
        <x:v>Add a parallel practice track and keep fresh EEG approval-gated</x:v>
      </x:c>
      <x:c r="D28" s="12" t="str">
        <x:v>A practical local workflow requires explicit dataset cohorts, sensor modalities, compatibility levels, privacy rules, and authorization boundaries before real intake or device work.</x:v>
      </x:c>
      <x:c r="E28" s="12" t="str">
        <x:v>docs/REAL_WORLD_PRACTICE_TRACK_RESEARCH.md</x:v>
      </x:c>
      <x:c r="F28" s="12" t="str">
        <x:v>Yes</x:v>
      </x:c>
      <x:c r="G28" s="12" t="str">
        <x:v>Codex</x:v>
      </x:c>
      <x:c r="H28" s="12" t="str">
        <x:v>RW1 metadata-only intake</x:v>
      </x:c>
      <x:c r="I28" s="12" t="str">
        <x:v>Eight dataset records and 13 device records are metadata only. S20 session 2 block 2 is an unapproved four-file 96,090,264-byte proposal. No raw, consumed-cache, target, model, training, or download access occurred.</x:v>
      </x:c>
    </x:row>
    <x:row r="29" ht="131.25" customHeight="1">
      <x:c r="A29" s="37" t="n">
        <x:v>46213</x:v>
      </x:c>
      <x:c r="B29" s="12" t="str">
        <x:v>RW1</x:v>
      </x:c>
      <x:c r="C29" s="12" t="str">
        <x:v>Close metadata-only local intake at compatibility level 0</x:v>
      </x:c>
      <x:c r="D29" s="12" t="str">
        <x:v>Six common format families now produce strict deterministic core reports and measured audit sidecars without binary signal, target, model, training, or network access.</x:v>
      </x:c>
      <x:c r="E29" s="12" t="str">
        <x:v>docs/RW1_METADATA_ONLY_LOCAL_INTAKE.md</x:v>
      </x:c>
      <x:c r="F29" s="12" t="str">
        <x:v>Yes</x:v>
      </x:c>
      <x:c r="G29" s="12" t="str">
        <x:v>Codex</x:v>
      </x:c>
      <x:c r="H29" s="12" t="str">
        <x:v>RW2 preregistration</x:v>
      </x:c>
      <x:c r="I29" s="12" t="str">
        <x:v>532-byte synthetic fixture; 11,545 output bytes; 0.001659 s; 21,643,264-byte peak RSS; 11 focused tests; no signal readability or decoding claim.</x:v>
      </x:c>
    </x:row>
    <x:row r="30" ht="131.25" customHeight="1">
      <x:c r="A30" s="37" t="n">
        <x:v>46213</x:v>
      </x:c>
      <x:c r="B30" s="12" t="str">
        <x:v>RW2</x:v>
      </x:c>
      <x:c r="C30" s="12" t="str">
        <x:v>Freeze bounded signal-quality protocol before implementation</x:v>
      </x:c>
      <x:c r="D30" s="12" t="str">
        <x:v>Primary-source review exposed BIDS sidecar imports, EEGLAB embedded-array preload risk, and mixed-rate EDF/BDF behavior; bind explicit synthetic-only adapters before code.</x:v>
      </x:c>
      <x:c r="E30" s="12" t="str">
        <x:v>docs/RW2_SIGNAL_QUALITY_PREREGISTRATION.md</x:v>
      </x:c>
      <x:c r="F30" s="12" t="str">
        <x:v>Yes</x:v>
      </x:c>
      <x:c r="G30" s="12" t="str">
        <x:v>Codex</x:v>
      </x:c>
      <x:c r="H30" s="12" t="str">
        <x:v>RW2 synthetic implementation</x:v>
      </x:c>
      <x:c r="I30" s="12" t="str">
        <x:v>Commit eacb231; six adapters; one thread; 32 MiB materialized arrays; 4 MiB/run; 16 MiB fixture/report set; zero real/signal/target/model/training/download access.</x:v>
      </x:c>
    </x:row>
    <x:row r="31" ht="96" customHeight="1">
      <x:c r="A31" s="37" t="n">
        <x:v>46213</x:v>
      </x:c>
      <x:c r="B31" s="12" t="str">
        <x:v>RW2</x:v>
      </x:c>
      <x:c r="C31" s="12" t="str">
        <x:v>Close exact synthetic compatibility level 2; preregister RW3 only</x:v>
      </x:c>
      <x:c r="D31" s="12" t="str">
        <x:v>All 38 authorized fixtures pass, both frozen refusals match, reader opens remain lazy, source/payload hashes are unchanged, and privacy/resource gates pass without real or target access.</x:v>
      </x:c>
      <x:c r="E31" s="12" t="str">
        <x:v>docs/RW2_SIGNAL_QUALITY_CLOSEOUT.md</x:v>
      </x:c>
      <x:c r="F31" s="12" t="str">
        <x:v>Yes</x:v>
      </x:c>
      <x:c r="G31" s="12" t="str">
        <x:v>Codex</x:v>
      </x:c>
      <x:c r="H31" s="12" t="str">
        <x:v>RW3 preregistration</x:v>
      </x:c>
      <x:c r="I31" s="12" t="str">
        <x:v>Measured FIF: 9 channels, 3 windows, 11,520 values, 92,160 materialized bytes, 76,592 output bytes, 3.839168 s, 150,749,184-byte peak RSS; no real/cache/target/model/training/network access; no real-quality or decoding claim.</x:v>
      </x:c>
    </x:row>
    <x:row r="32" ht="96" customHeight="1">
      <x:c r="A32" s="37" t="n">
        <x:v>46213</x:v>
      </x:c>
      <x:c r="B32" s="12" t="str">
        <x:v>OS1</x:v>
      </x:c>
      <x:c r="C32" s="12" t="str">
        <x:v>Prepare proof-first open-source contribution surface; review public default before release</x:v>
      </x:c>
      <x:c r="D32" s="12" t="str">
        <x:v>EEG owners need metadata-first contribution paths, maintainers need privacy/security/license controls, and the current public default branch is stale relative to the tested review branch.</x:v>
      </x:c>
      <x:c r="E32" s="12" t="str">
        <x:v>docs/OPEN_SOURCE_READINESS.md</x:v>
      </x:c>
      <x:c r="F32" s="12" t="str">
        <x:v>Yes</x:v>
      </x:c>
      <x:c r="G32" s="12" t="str">
        <x:v>Cheick</x:v>
      </x:c>
      <x:c r="H32" s="12" t="str">
        <x:v>Review branch and GitHub settings</x:v>
      </x:c>
      <x:c r="I32" s="12" t="str">
        <x:v>Apache-2.0 is provisional for original work; Brain2Qwerty/SpanishBCBL remain separately CC-BY-NC-4.0. History/data/Gitleaks checks pass. Description, topics, labels, issue forms, CI, and contribution docs are prepared.</x:v>
      </x:c>
    </x:row>
    <x:row r="33" ht="108" customHeight="1">
      <x:c r="A33" s="37" t="n">
        <x:v>46213</x:v>
      </x:c>
      <x:c r="B33" s="12" t="str">
        <x:v>RW3</x:v>
      </x:c>
      <x:c r="C33" s="12" t="str">
        <x:v>Freeze source-chunk and replay-equivalence protocol before code</x:v>
      </x:c>
      <x:c r="D33" s="12" t="str">
        <x:v>Primary sources expose regenerated playback time, separate clock correction, destructive timestamp postprocessing, and raw-versus-corrected XDF views; freeze exact semantics before one adapter abstraction.</x:v>
      </x:c>
      <x:c r="E33" s="12" t="str">
        <x:v>docs/RW3_REPLAY_LIVE_EQUIVALENCE_PREREGISTRATION.md</x:v>
      </x:c>
      <x:c r="F33" s="12" t="str">
        <x:v>Yes</x:v>
      </x:c>
      <x:c r="G33" s="12" t="str">
        <x:v>Codex</x:v>
      </x:c>
      <x:c r="H33" s="12" t="str">
        <x:v>Review and explicitly authorize Stage A only</x:v>
      </x:c>
      <x:c r="I33" s="12" t="str">
        <x:v>Commit c3d1f01; 5 schedules; 18 future target-free fixture families; 30 refusal IDs; 4 separately gated stages; 7 invariant tests; zero adapter/socket/stream/board/XDF/data/target/model/training access; no runtime or decoding claim.</x:v>
      </x:c>
    </x:row>
    <x:row r="34" ht="118" customHeight="1">
      <x:c r="A34" s="37" t="n">
        <x:v>46214</x:v>
      </x:c>
      <x:c r="B34" s="12" t="str">
        <x:v>RW3-A</x:v>
      </x:c>
      <x:c r="C34" s="12" t="str">
        <x:v>Prepare Stage A authorization packet; keep implementation unauthorized</x:v>
      </x:c>
      <x:c r="D34" s="12" t="str">
        <x:v>The next permission must bind the frozen contract hash, exact 90-case matrix, 30 refusals, caps, forbidden work, and authorization sequence so general continuation cannot become runtime, device, or data access.</x:v>
      </x:c>
      <x:c r="E34" s="12" t="str">
        <x:v>docs/RW3_STAGE_A_AUTHORIZATION_PACKET.md</x:v>
      </x:c>
      <x:c r="F34" s="12" t="str">
        <x:v>Yes</x:v>
      </x:c>
      <x:c r="G34" s="12" t="str">
        <x:v>Codex</x:v>
      </x:c>
      <x:c r="H34" s="12" t="str">
        <x:v>Explicitly authorize Stage A only, amend, or hold</x:v>
      </x:c>
      <x:c r="I34" s="12" t="str">
        <x:v>Commit 163ff2f; machine request authorized_now=false; 10 invariants; zero source chunks, fixtures, adapters, optional imports, sockets, boards, XDF/data/target/model/training access; Stages B-D remain forbidden.</x:v>
      </x:c>
    </x:row>
    <x:row r="35" ht="90" customHeight="1">
      <x:c r="A35" s="37" t="n">
        <x:v>46214</x:v>
      </x:c>
      <x:c r="B35" s="12" t="n">
        <x:v>24</x:v>
      </x:c>
      <x:c r="C35" s="12" t="str">
        <x:v>Freeze local precision/runtime before candidate execution</x:v>
      </x:c>
      <x:c r="D35" s="12" t="str">
        <x:v>The 1,130-parameter synthetic pipeline is small enough that dtype labels, storage size, warmup, backend choice, and Python overhead can mislead; freeze behavior and resource gates before observing a candidate.</x:v>
      </x:c>
      <x:c r="E35" s="12" t="str">
        <x:v>docs/LOOP_24_PRECISION_RUNTIME_PREREGISTRATION.md</x:v>
      </x:c>
      <x:c r="F35" s="12" t="str">
        <x:v>Yes</x:v>
      </x:c>
      <x:c r="G35" s="12" t="str">
        <x:v>Codex</x:v>
      </x:c>
      <x:c r="H35" s="12" t="str">
        <x:v>Explicitly authorize Loop 24 only, amend, or hold</x:v>
      </x:c>
      <x:c r="I35" s="12" t="str">
        <x:v>Commit 186bb6f; contract SHA-256 58e9d5407fef9419bc3bb0dc8cd3fa68d36dd238cb636d2f833dd9c5c6c3ae5d; 3 candidates; seeds 2401/2402; 12 balanced selection rounds; 30 refusals; 9 invariants; zero fixture/checkpoint/candidate/inference/training/RW3 access.</x:v>
      </x:c>
    </x:row>
    <x:row r="36" ht="158.39999389648438" hidden="0" customHeight="1">
      <x:c r="A36" s="40" t="n">
        <x:v>46215</x:v>
      </x:c>
      <x:c r="B36" s="14" t="str">
        <x:v>24-AUTH</x:v>
      </x:c>
      <x:c r="C36" s="14" t="str">
        <x:v>Authorize frozen target-free Loop 24 only; no runtime yet</x:v>
      </x:c>
      <x:c r="D36" s="14" t="str">
        <x:v>The user explicitly authorized Loop 24 while mentioning real data and training. Preserve the preregistered experiment by authorizing only its target-free synthetic fixture, frozen checkpoint, three candidates, selection, conditional qualification, reports, and CLI after a tested authorization-only commit is pushed. Route real-data and training ambition to Loops 25-27.</x:v>
      </x:c>
      <x:c r="E36" s="14" t="str">
        <x:v>docs/LOOP_24_AUTHORIZATION_DECISION.md; registries/loop24_authorization_decision.v0.json</x:v>
      </x:c>
      <x:c r="F36" s="14" t="str">
        <x:v>Yes</x:v>
      </x:c>
      <x:c r="G36" s="14" t="str">
        <x:v>Cheick + Codex</x:v>
      </x:c>
      <x:c r="H36" s="14" t="str">
        <x:v>Push authorization-only commit; confirm CI; execute exact Loop 24</x:v>
      </x:c>
      <x:c r="I36" s="14" t="str">
        <x:v>The immutable 186bb6f contract retains false flags and its original hash. The separate decision permits only target-free fixture generation, frozen checkpoint validation, the three registered candidates, selection, conditional qualification, reports, and CLI work. Real/consumed data, targets, labels, text, training, new models, energy, RW3, devices, hardware, and Loops 25-44 remain false. Authorization-only counters and runtime outputs are zero.</x:v>
      </x:c>
    </x:row>
    <x:row r="37" ht="79.19999694824219" hidden="0" customHeight="1">
      <x:c r="A37" s="40" t="n">
        <x:v>46215</x:v>
      </x:c>
      <x:c r="B37" s="14" t="str">
        <x:v>24-RUN</x:v>
      </x:c>
      <x:c r="C37" s="14" t="str">
        <x:v>Park precision candidates; retain float32 reference</x:v>
      </x:c>
      <x:c r="D37" s="14" t="str">
        <x:v>All 12 balanced timing rounds completed, but total runtime was 65.154951 s against the frozen 60 s cap. Float16 was smaller but slower; dynamic QNNPACK qint8 was smaller but changed behavior and was slower. The protocol therefore requires parking without a rerun.</x:v>
      </x:c>
      <x:c r="E37" s="14" t="str">
        <x:v>docs/LOOP_24_LOCAL_PRECISION_RUNTIME.md</x:v>
      </x:c>
      <x:c r="F37" s="14" t="str">
        <x:v>No</x:v>
      </x:c>
      <x:c r="G37" s="14" t="str">
        <x:v>Codex</x:v>
      </x:c>
      <x:c r="H37" s="14" t="str">
        <x:v>Loop 25 preregistration decision</x:v>
      </x:c>
      <x:c r="I37" s="14" t="str">
        <x:v>Seed 2401 consumed; seed 2402 unopened; float32 retained. Output 125,934 B; fixture + output 262,822 B; max worker RSS 222,248,960 B; no real data, targets, labels, training, energy, RW3, or hardware access.</x:v>
      </x:c>
    </x:row>
    <x:row r="38" ht="126" customHeight="1">
      <x:c r="A38" s="37" t="n">
        <x:v>46215</x:v>
      </x:c>
      <x:c r="B38" s="12" t="str">
        <x:v>25-REG</x:v>
      </x:c>
      <x:c r="C38" s="12" t="str">
        <x:v>Preregister causal preprocessing; keep execution unauthorized</x:v>
      </x:c>
      <x:c r="D38" s="12" t="str">
        <x:v>The existing sentence path is offline and future-dependent at filtering, resampling, normalization, and endpoint stages. Freeze one target-free stateful path and every acceptance boundary before creating coefficients or fixtures.</x:v>
      </x:c>
      <x:c r="E38" s="12" t="str">
        <x:v>docs/LOOP_25_PRIMARY_SOURCE_RESEARCH.md; docs/LOOP_25_CAUSAL_PREPROCESSING_PREREGISTRATION.md; registries/causal_preprocessing_contract.v0.json; docs/LOOP_25_AUTHORIZATION_PACKET.md</x:v>
      </x:c>
      <x:c r="F38" s="12" t="str">
        <x:v>Yes</x:v>
      </x:c>
      <x:c r="G38" s="12" t="str">
        <x:v>Codex</x:v>
      </x:c>
      <x:c r="H38" s="12" t="str">
        <x:v>Authorize exactly, amend packet, or hold</x:v>
      </x:c>
      <x:c r="I38" s="12" t="str">
        <x:v>Commit a36d97b; CI green; contract SHA-256 42781526225c556d0df54d1b6924fd5d9ecf95578a84c3e3922b6d5c7035050e; 7 schedules; 10 resumes; 3 mutation cuts; 40 refusals; 21 counters; 10 contract + 8 request invariants. authorized_now=false; seeds 2501/2502 unopened; zero runtime/data/target/model/training/RW3/device operations.</x:v>
      </x:c>
    </x:row>
    <x:row r="39" ht="135" customHeight="1">
      <x:c r="A39" s="37" t="n">
        <x:v>46215</x:v>
      </x:c>
      <x:c r="B39" s="12" t="str">
        <x:v>25-AA</x:v>
      </x:c>
      <x:c r="C39" s="12" t="str">
        <x:v>Supersede Loop 25 v0 anti-alias scope before authorization</x:v>
      </x:c>
      <x:c r="D39" s="12" t="str">
        <x:v>Pinned Brain2Qwerty uses NeuralSet 0.2.2, whose extractor performs a separate MNE resample after bandpass filtering. V0 checked only 60 Hz at -6 dB and left almost the complete 50-500 Hz folding band unbounded. Amend before any coefficient or seed exists.</x:v>
      </x:c>
      <x:c r="E39" s="12" t="str">
        <x:v>docs/LOOP_25_ANTI_ALIAS_AUDIT.md; docs/LOOP_25_CAUSAL_PREPROCESSING_AMENDMENT_1.md; registries/causal_preprocessing_contract.v1.json; docs/LOOP_25_AUTHORIZATION_PACKET_V1.md</x:v>
      </x:c>
      <x:c r="F39" s="12" t="str">
        <x:v>Yes</x:v>
      </x:c>
      <x:c r="G39" s="12" t="str">
        <x:v>Codex</x:v>
      </x:c>
      <x:c r="H39" s="12" t="str">
        <x:v>Review v1; authorize exactly, amend again, or hold</x:v>
      </x:c>
      <x:c r="I39" s="12" t="str">
        <x:v>Commit b6b92d8; both CI jobs green; contract SHA-256 ecec99a7cc505ec0256c01c3c1e8aeaa05323ab54a71528323fa6d32bd289141; dedicated elliptic anti-alias; 65,537 response points; 23 alias probes; 7 schedules; 10 resumes; 3 mutation cuts; 45 refusals; 23 counters. authorized_now=false; seeds 2501/2502 unopened; zero coefficient/runtime/data/target/model/training/RW3/device operations.</x:v>
      </x:c>
    </x:row>
    <x:row r="40" ht="142.5" customHeight="1">
      <x:c r="A40" s="37" t="n">
        <x:v>46215</x:v>
      </x:c>
      <x:c r="B40" s="12" t="str">
        <x:v>26-R1</x:v>
      </x:c>
      <x:c r="C40" s="12" t="str">
        <x:v>Close Loop 26 planning research without preregistering an experiment</x:v>
      </x:c>
      <x:c r="D40" s="12" t="str">
        <x:v>Six validation sentences from one person/session support only a coarse source-validation engineering gate. Preserve the 2,908-parameter ceiling, recommend a left-causal padding repair and 2,884-parameter linear comparator, and wait for Loop 25 before freezing thresholds or access.</x:v>
      </x:c>
      <x:c r="E40" s="12" t="str">
        <x:v>docs/LOOP_26_PRIMARY_SOURCE_RESEARCH.md; registries/loop26_research_boundary.v0.json; docs/LOOPS_25_44_ROADMAP.md</x:v>
      </x:c>
      <x:c r="F40" s="12" t="str">
        <x:v>Yes</x:v>
      </x:c>
      <x:c r="G40" s="12" t="str">
        <x:v>Codex</x:v>
      </x:c>
      <x:c r="H40" s="12" t="str">
        <x:v>Make the exact Loop 25 decision; only then consider a separate Loop 26 preregistration</x:v>
      </x:c>
      <x:c r="I40" s="12" t="str">
        <x:v>Planning only. 64 exact paired assignments; minimum two-sided resolution 0.03125 with six nonzero pairs; 55/6/5 split; source test and session 2 frozen; 14 authorization flags false; zero cache/target/model/training/validation operations.</x:v>
      </x:c>
    </x:row>
    <x:row r="41" ht="148.5" customHeight="1">
      <x:c r="A41" s="37" t="n">
        <x:v>46215</x:v>
      </x:c>
      <x:c r="B41" s="12" t="str">
        <x:v>27-R1</x:v>
      </x:c>
      <x:c r="C41" s="12" t="str">
        <x:v>Select S25 metadata for Loop 27 and hold preregistration</x:v>
      </x:c>
      <x:c r="D41" s="12" t="str">
        <x:v>A pinned metadata selector found 23 strict MEG pairs and 16 eligible pairs. Select the first eligible pair, S25 session 2 block 2, at exactly 1,009,939,983 bytes. Keep every payload and permission sealed until source-model, control, target-isolation, and final-rule hashes exist.</x:v>
      </x:c>
      <x:c r="E41" s="12" t="str">
        <x:v>docs/LOOP_27_PRIMARY_SOURCE_RESEARCH.md; registries/loop27_research_boundary.v0.json; docs/LOOPS_25_44_ROADMAP.md</x:v>
      </x:c>
      <x:c r="F41" s="12" t="str">
        <x:v>Yes</x:v>
      </x:c>
      <x:c r="G41" s="12" t="str">
        <x:v>Codex</x:v>
      </x:c>
      <x:c r="H41" s="12" t="str">
        <x:v>Make the exact Loop 25 decision; only after Loop 25/26 evidence exists may Loop 27 preregistration be prepared</x:v>
      </x:c>
      <x:c r="I41" s="12" t="str">
        <x:v>Planning only. S23 officially excluded; S20 is EEG; all 18 permissions false; zero download, local MAT hash, header, signal, target, model, training, final, or backup operations.</x:v>
      </x:c>
    </x:row>
    <x:row r="42" ht="132" hidden="0" customHeight="1">
      <x:c r="A42" s="37" t="n">
        <x:v>46215</x:v>
      </x:c>
      <x:c r="B42" s="12" t="str">
        <x:v>28-R1</x:v>
      </x:c>
      <x:c r="C42" s="12" t="str">
        <x:v>Reserve S25 for strict zero-shot and separate calibration</x:v>
      </x:c>
      <x:c r="D42" s="12" t="str">
        <x:v>Brain2Qwerty v2 is continuous-sentence but noncausal. Its joint model includes target participants and its leave-one-out path finetunes on the target, so neither is strict unseen-person zero-shot. Preserve S25's independence by allowing zero target-person fit rows and moving calibrated transfer to a different physical design.</x:v>
      </x:c>
      <x:c r="E42" s="12" t="str">
        <x:v>docs/LOOP_28_PRIMARY_SOURCE_RESEARCH.md; registries/loop28_research_boundary.v0.json; docs/LOOPS_25_44_ROADMAP.md</x:v>
      </x:c>
      <x:c r="F42" s="12" t="str">
        <x:v>Yes</x:v>
      </x:c>
      <x:c r="G42" s="12" t="str">
        <x:v>Codex</x:v>
      </x:c>
      <x:c r="H42" s="12" t="str">
        <x:v>Make the exact Loop 25 decision; after Loops 25-27 close, consider a separate Loop 28 preregistration</x:v>
      </x:c>
      <x:c r="I42" s="12" t="str">
        <x:v>Planning only. T0-T3 taxonomy; &gt;=48 final rows; &gt;=0.05 macro-CER advantage; 65,535 paired assignments plus observed; four comparators; 21 authorization flags false; zero S25 payload/target/model/calibration/final operations.</x:v>
      </x:c>
    </x:row>
    <x:row r="43" ht="144" customHeight="1">
      <x:c r="A43" s="152" t="n">
        <x:v>46215</x:v>
      </x:c>
      <x:c r="B43" s="39" t="str">
        <x:v>29-R1</x:v>
      </x:c>
      <x:c r="C43" s="39" t="str">
        <x:v>Choose local-first EEG and partner OPM-MEG lanes; hold execution</x:v>
      </x:c>
      <x:c r="D43" s="39" t="str">
        <x:v>Scalp EEG offers the most accessible local acquisition path but has weaker task-matched decoding and stronger reference, placement, motion, and clock risks. OPM-MEG preserves magnetic sensing but still requires specialist shielding, field control, geometry, and motion handling. Keep both lanes separate from cryogenic MEG and peripheral controls.</x:v>
      </x:c>
      <x:c r="E43" s="39" t="str">
        <x:v>docs/LOOP_29_PRIMARY_SOURCE_RESEARCH.md; registries/loop29_research_boundary.v0.json; docs/LOOPS_25_44_ROADMAP.md</x:v>
      </x:c>
      <x:c r="F43" s="39" t="str">
        <x:v>Yes</x:v>
      </x:c>
      <x:c r="G43" s="39" t="str">
        <x:v>Codex</x:v>
      </x:c>
      <x:c r="H43" s="39" t="str">
        <x:v>Review an exact device or acquisition packet only after its prerequisites and separate authorization exist</x:v>
      </x:c>
      <x:c r="I43" s="39" t="str">
        <x:v>Planning only. 15 requirements; 4 profiles; 6 qualification levels; 12 future packet gates; 24 authorization flags false. Preferred/absolute capacity is 5,000,000,000/10,000,000,000 bytes; S20+S25 total 1,106,030,247 bytes; zero download/data/model/stream/device/hardware operations.</x:v>
      </x:c>
    </x:row>
    <x:row r="44" ht="118" customHeight="1">
      <x:c r="A44" s="37" t="n">
        <x:v>46215</x:v>
      </x:c>
      <x:c r="B44" s="12" t="str">
        <x:v>30-R1</x:v>
      </x:c>
      <x:c r="C44" s="12" t="str">
        <x:v>Define a target-free local replay inspector; hold execution</x:v>
      </x:c>
      <x:c r="D44" s="12" t="str">
        <x:v>Brain2Qwerty v2 is continuous but whole-sentence and noncausal, Loop 21 proves only a causal producer, and Loop 23 shows that stable zero-revision output can still be wrong. Freeze replay/live, clocks, revision/finalization, confidence, localhost, accessibility, browser, and resource boundaries before any UI or server exists.</x:v>
      </x:c>
      <x:c r="E44" s="12" t="str">
        <x:v>docs/LOOP_30_PRIMARY_SOURCE_RESEARCH.md; registries/loop30_research_boundary.v0.json; docs/LOOPS_25_44_ROADMAP.md</x:v>
      </x:c>
      <x:c r="F44" s="12" t="str">
        <x:v>Yes</x:v>
      </x:c>
      <x:c r="G44" s="12" t="str">
        <x:v>Codex</x:v>
      </x:c>
      <x:c r="H44" s="12" t="str">
        <x:v>Make the exact Loop 25 decision; prepare a separate Loop 30 packet only after its dependency and scope are explicit</x:v>
      </x:c>
      <x:c r="I44" s="12" t="str">
        <x:v>Planning only. 4 source modes; 30 event fields; 9 clocks; 6 latency levels; 18 gates; 30 refusals; 30 authorization flags false. No seed, trace, UI, server, browser, consumed data, model, stream, live source, or hardware operation.</x:v>
      </x:c>
    </x:row>
    <x:row r="45" ht="126" customHeight="1">
      <x:c r="A45" s="37" t="n">
        <x:v>46215</x:v>
      </x:c>
      <x:c r="B45" s="12" t="str">
        <x:v>31-R1</x:v>
      </x:c>
      <x:c r="C45" s="12" t="str">
        <x:v>Separate sensor dependence, language gain, and neural origin; hold execution</x:v>
      </x:c>
      <x:c r="D45" s="12" t="str">
        <x:v>The real S21 MEG and S7 EEG paths both lose to no-signal priors. Freeze encoder, timing, context, language, Neuro Token, exact inference, target-blind access, and claim ceilings before any validation or model operation. Sensor-signal dependence is the maximum local claim; Loop 35 is required for brain-specific attribution.</x:v>
      </x:c>
      <x:c r="E45" s="12" t="str">
        <x:v>docs/LOOP_31_PRIMARY_SOURCE_RESEARCH.md; registries/loop31_research_boundary.v0.json; docs/LOOPS_25_44_ROADMAP.md</x:v>
      </x:c>
      <x:c r="F45" s="12" t="str">
        <x:v>Yes</x:v>
      </x:c>
      <x:c r="G45" s="12" t="str">
        <x:v>Codex</x:v>
      </x:c>
      <x:c r="H45" s="12" t="str">
        <x:v>Make the exact Loop 25 decision; Loop 31 remains blocked on an actual Loop 26 result and separate authorization</x:v>
      </x:c>
      <x:c r="I45" s="12" t="str">
        <x:v>Planning only. 10 encoder conditions; 5 contingent LLM conditions; 6 claim classes; 18 gates; 24 refusals; 19 authorization flags false. No protected input, model, training, validation, LLM, Neuro Token, S20/S25, stream, device, or hardware operation.</x:v>
      </x:c>
    </x:row>
    <x:row r="46" ht="136" customHeight="1">
      <x:c r="A46" s="37" t="n">
        <x:v>46215</x:v>
      </x:c>
      <x:c r="B46" s="12" t="str">
        <x:v>32-R1</x:v>
      </x:c>
      <x:c r="C46" s="12" t="str">
        <x:v>Count calibration information, not just adapter parameters; hold execution</x:v>
      </x:c>
      <x:c r="D46" s="12" t="str">
        <x:v>Recommend one 32-parameter causal adapter and keep strict zero-shot, unlabeled, label-light, and supervised claims separate. Require physical 32/16/48 partitions, pre-calibration zero-shot prediction freeze, one chosen budget, one final-target open, and complete human burden. Keep S25 final-only.</x:v>
      </x:c>
      <x:c r="E46" s="12" t="str">
        <x:v>docs/LOOP_32_PRIMARY_SOURCE_RESEARCH.md; registries/loop32_research_boundary.v0.json; docs/LOOPS_25_44_ROADMAP.md</x:v>
      </x:c>
      <x:c r="F46" s="12" t="str">
        <x:v>Yes</x:v>
      </x:c>
      <x:c r="G46" s="12" t="str">
        <x:v>Codex</x:v>
      </x:c>
      <x:c r="H46" s="12" t="str">
        <x:v>Make the exact Loop 25 decision; Loop 32 remains blocked on Loop 26/31 results and a separately approved fresh-person protocol</x:v>
      </x:c>
      <x:c r="I46" s="12" t="str">
        <x:v>Planning only. 4 modes; 6 budgets; 32 target-trainable values; 32/16/48 floors; 6 conditions; 7 claims; 20 gates; 26 refusals; 22 authorization flags false; no candidate, protected access, model, adapter fit, training, or evaluation.</x:v>
      </x:c>
    </x:row>
    <x:row r="47">
      <x:c r="A47" s="37" t="n">
        <x:v>46215</x:v>
      </x:c>
      <x:c r="B47" s="12" t="str">
        <x:v>33-R1</x:v>
      </x:c>
      <x:c r="C47" s="12" t="str">
        <x:v>Spend the shared validation event once; hold execution and acquisition</x:v>
      </x:c>
      <x:c r="D47" s="12" t="str">
        <x:v>Recommend nested 8/16/24/32/44/55 unique-sentence prefixes, at most three seeds and 18 fits, and matched priors. Freeze Loop 33 with Loop 26 before the first validation target opens; otherwise a later curve is exploratory. Duplicated arrays are not physical repeated acquisitions, and no public scaling exponent transfers to this tiny local design.</x:v>
      </x:c>
      <x:c r="E47" s="12" t="str">
        <x:v>docs/LOOP_33_PRIMARY_SOURCE_RESEARCH.md; registries/loop33_research_boundary.v0.json; docs/LOOPS_25_44_ROADMAP.md</x:v>
      </x:c>
      <x:c r="F47" s="12" t="str">
        <x:v>Yes</x:v>
      </x:c>
      <x:c r="G47" s="12" t="str">
        <x:v>Codex</x:v>
      </x:c>
      <x:c r="H47" s="12" t="str">
        <x:v>Make the exact Loop 25 decision; co-preregister Loop 26 and Loop 33 before any shared validation-target open</x:v>
      </x:c>
      <x:c r="I47" s="12" t="str">
        <x:v>Planning only. 6 prefixes; 3-seed/18-fit ceiling; 4 conditions; 7 outcomes; 7 claims; 20 gates; 30 refusals; 23 authorization flags false. No protected access, model, training, score, physical-repetition study, or acquisition.</x:v>
      </x:c>
    </x:row>
    <x:row r="48">
      <x:c r="A48" s="37" t="n">
        <x:v>46215</x:v>
      </x:c>
      <x:c r="B48" s="12" t="str">
        <x:v>34-R1</x:v>
      </x:c>
      <x:c r="C48" s="12" t="str">
        <x:v>Keep confidence unavailable until independent evidence exists; hold execution</x:v>
      </x:c>
      <x:c r="D48" s="12" t="str">
        <x:v>Separate raw ranking, calibrated probability, selective policy, conformal bounded risk, revision stability, and product-visible confidence. Reserve the six real validation rows for Loops 26/31/33. Recommend fresh 128/64/256 synthetic partitions and one final open only after every score, mapping, threshold, policy, prediction, and hash freezes.</x:v>
      </x:c>
      <x:c r="E48" s="12" t="str">
        <x:v>docs/LOOP_34_PRIMARY_SOURCE_RESEARCH.md; registries/loop34_research_boundary.v0.json; docs/LOOPS_25_44_ROADMAP.md</x:v>
      </x:c>
      <x:c r="F48" s="12" t="str">
        <x:v>Yes</x:v>
      </x:c>
      <x:c r="G48" s="12" t="str">
        <x:v>Codex</x:v>
      </x:c>
      <x:c r="H48" s="12" t="str">
        <x:v>Make the exact Loop 25 decision; Loop 34 remains blocked on Loop 30/31 execution evidence and a separately authorized fresh synthetic confidence lane</x:v>
      </x:c>
      <x:c r="I48" s="12" t="str">
        <x:v>Planning only. 7 semantics; 8 score/control roles; recommended 128/64/256 partitions; 8 outcomes; 7 claims; 20 gates; 30 refusals; 26 authorization flags false. Confidence unavailable; no fixture, fit, target, scoring, or product-confidence operation.</x:v>
      </x:c>
    </x:row>
    <x:row r="49">
      <x:c r="A49" s="37"/>
      <x:c r="B49" s="12"/>
      <x:c r="C49" s="12"/>
      <x:c r="D49" s="12"/>
      <x:c r="E49" s="12"/>
      <x:c r="F49" s="12"/>
      <x:c r="G49" s="12"/>
      <x:c r="H49" s="12"/>
      <x:c r="I49" s="12"/>
    </x:row>
    <x:row r="50">
      <x:c r="A50" s="37"/>
      <x:c r="B50" s="12"/>
      <x:c r="C50" s="12"/>
      <x:c r="D50" s="12"/>
      <x:c r="E50" s="12"/>
      <x:c r="F50" s="12"/>
      <x:c r="G50" s="12"/>
      <x:c r="H50" s="12"/>
      <x:c r="I50" s="12"/>
    </x:row>
    <x:row r="51">
      <x:c r="A51" s="37"/>
      <x:c r="B51" s="12"/>
      <x:c r="C51" s="12"/>
      <x:c r="D51" s="12"/>
      <x:c r="E51" s="12"/>
      <x:c r="F51" s="12"/>
      <x:c r="G51" s="12"/>
      <x:c r="H51" s="12"/>
      <x:c r="I51" s="12"/>
    </x:row>
    <x:row r="52">
      <x:c r="A52" s="37"/>
      <x:c r="B52" s="12"/>
      <x:c r="C52" s="12"/>
      <x:c r="D52" s="12"/>
      <x:c r="E52" s="12"/>
      <x:c r="F52" s="12"/>
      <x:c r="G52" s="12"/>
      <x:c r="H52" s="12"/>
      <x:c r="I52" s="12"/>
    </x:row>
    <x:row r="53">
      <x:c r="A53" s="37"/>
      <x:c r="B53" s="12"/>
      <x:c r="C53" s="12"/>
      <x:c r="D53" s="12"/>
      <x:c r="E53" s="12"/>
      <x:c r="F53" s="12"/>
      <x:c r="G53" s="12"/>
      <x:c r="H53" s="12"/>
      <x:c r="I53" s="12"/>
    </x:row>
    <x:row r="54">
      <x:c r="A54" s="37"/>
      <x:c r="B54" s="12"/>
      <x:c r="C54" s="12"/>
      <x:c r="D54" s="12"/>
      <x:c r="E54" s="12"/>
      <x:c r="F54" s="12"/>
      <x:c r="G54" s="12"/>
      <x:c r="H54" s="12"/>
      <x:c r="I54" s="12"/>
    </x:row>
    <x:row r="55">
      <x:c r="A55" s="37"/>
      <x:c r="B55" s="12"/>
      <x:c r="C55" s="12"/>
      <x:c r="D55" s="12"/>
      <x:c r="E55" s="12"/>
      <x:c r="F55" s="12"/>
      <x:c r="G55" s="12"/>
      <x:c r="H55" s="12"/>
      <x:c r="I55" s="12"/>
    </x:row>
    <x:row r="56">
      <x:c r="A56" s="37"/>
      <x:c r="B56" s="12"/>
      <x:c r="C56" s="12"/>
      <x:c r="D56" s="12"/>
      <x:c r="E56" s="12"/>
      <x:c r="F56" s="12"/>
      <x:c r="G56" s="12"/>
      <x:c r="H56" s="12"/>
      <x:c r="I56" s="12"/>
    </x:row>
    <x:row r="57">
      <x:c r="A57" s="37"/>
      <x:c r="B57" s="12"/>
      <x:c r="C57" s="12"/>
      <x:c r="D57" s="12"/>
      <x:c r="E57" s="12"/>
      <x:c r="F57" s="12"/>
      <x:c r="G57" s="12"/>
      <x:c r="H57" s="12"/>
      <x:c r="I57" s="12"/>
    </x:row>
    <x:row r="58">
      <x:c r="A58" s="37"/>
      <x:c r="B58" s="12"/>
      <x:c r="C58" s="12"/>
      <x:c r="D58" s="12"/>
      <x:c r="E58" s="12"/>
      <x:c r="F58" s="12"/>
      <x:c r="G58" s="12"/>
      <x:c r="H58" s="12"/>
      <x:c r="I58" s="12"/>
    </x:row>
    <x:row r="59">
      <x:c r="A59" s="37"/>
      <x:c r="B59" s="12"/>
      <x:c r="C59" s="12"/>
      <x:c r="D59" s="12"/>
      <x:c r="E59" s="12"/>
      <x:c r="F59" s="12"/>
      <x:c r="G59" s="12"/>
      <x:c r="H59" s="12"/>
      <x:c r="I59" s="12"/>
    </x:row>
    <x:row r="60">
      <x:c r="A60" s="37"/>
      <x:c r="B60" s="12"/>
      <x:c r="C60" s="12"/>
      <x:c r="D60" s="12"/>
      <x:c r="E60" s="12"/>
      <x:c r="F60" s="12"/>
      <x:c r="G60" s="12"/>
      <x:c r="H60" s="12"/>
      <x:c r="I60" s="12"/>
    </x:row>
    <x:row r="61">
      <x:c r="A61" s="37"/>
      <x:c r="B61" s="12"/>
      <x:c r="C61" s="12"/>
      <x:c r="D61" s="12"/>
      <x:c r="E61" s="12"/>
      <x:c r="F61" s="12"/>
      <x:c r="G61" s="12"/>
      <x:c r="H61" s="12"/>
      <x:c r="I61" s="12"/>
    </x:row>
    <x:row r="62">
      <x:c r="A62" s="37"/>
      <x:c r="B62" s="12"/>
      <x:c r="C62" s="12"/>
      <x:c r="D62" s="12"/>
      <x:c r="E62" s="12"/>
      <x:c r="F62" s="12"/>
      <x:c r="G62" s="12"/>
      <x:c r="H62" s="12"/>
      <x:c r="I62" s="12"/>
    </x:row>
    <x:row r="63">
      <x:c r="A63" s="37"/>
      <x:c r="B63" s="12"/>
      <x:c r="C63" s="12"/>
      <x:c r="D63" s="12"/>
      <x:c r="E63" s="12"/>
      <x:c r="F63" s="12"/>
      <x:c r="G63" s="12"/>
      <x:c r="H63" s="12"/>
      <x:c r="I63" s="12"/>
    </x:row>
    <x:row r="64">
      <x:c r="A64" s="37"/>
      <x:c r="B64" s="12"/>
      <x:c r="C64" s="12"/>
      <x:c r="D64" s="12"/>
      <x:c r="E64" s="12"/>
      <x:c r="F64" s="12"/>
      <x:c r="G64" s="12"/>
      <x:c r="H64" s="12"/>
      <x:c r="I64" s="12"/>
    </x:row>
    <x:row r="65">
      <x:c r="A65" s="37"/>
      <x:c r="B65" s="12"/>
      <x:c r="C65" s="12"/>
      <x:c r="D65" s="12"/>
      <x:c r="E65" s="12"/>
      <x:c r="F65" s="12"/>
      <x:c r="G65" s="12"/>
      <x:c r="H65" s="12"/>
      <x:c r="I65" s="12"/>
    </x:row>
    <x:row r="66">
      <x:c r="A66" s="37"/>
      <x:c r="B66" s="12"/>
      <x:c r="C66" s="12"/>
      <x:c r="D66" s="12"/>
      <x:c r="E66" s="12"/>
      <x:c r="F66" s="12"/>
      <x:c r="G66" s="12"/>
      <x:c r="H66" s="12"/>
      <x:c r="I66" s="12"/>
    </x:row>
    <x:row r="67">
      <x:c r="A67" s="37"/>
      <x:c r="B67" s="12"/>
      <x:c r="C67" s="12"/>
      <x:c r="D67" s="12"/>
      <x:c r="E67" s="12"/>
      <x:c r="F67" s="12"/>
      <x:c r="G67" s="12"/>
      <x:c r="H67" s="12"/>
      <x:c r="I67" s="12"/>
    </x:row>
    <x:row r="68">
      <x:c r="A68" s="37"/>
      <x:c r="B68" s="12"/>
      <x:c r="C68" s="12"/>
      <x:c r="D68" s="12"/>
      <x:c r="E68" s="12"/>
      <x:c r="F68" s="12"/>
      <x:c r="G68" s="12"/>
      <x:c r="H68" s="12"/>
      <x:c r="I68" s="12"/>
    </x:row>
    <x:row r="69">
      <x:c r="A69" s="37"/>
      <x:c r="B69" s="12"/>
      <x:c r="C69" s="12"/>
      <x:c r="D69" s="12"/>
      <x:c r="E69" s="12"/>
      <x:c r="F69" s="12"/>
      <x:c r="G69" s="12"/>
      <x:c r="H69" s="12"/>
      <x:c r="I69" s="12"/>
    </x:row>
    <x:row r="70">
      <x:c r="A70" s="37"/>
      <x:c r="B70" s="12"/>
      <x:c r="C70" s="12"/>
      <x:c r="D70" s="12"/>
      <x:c r="E70" s="12"/>
      <x:c r="F70" s="12"/>
      <x:c r="G70" s="12"/>
      <x:c r="H70" s="12"/>
      <x:c r="I70" s="12"/>
    </x:row>
    <x:row r="71">
      <x:c r="A71" s="37"/>
      <x:c r="B71" s="12"/>
      <x:c r="C71" s="12"/>
      <x:c r="D71" s="12"/>
      <x:c r="E71" s="12"/>
      <x:c r="F71" s="12"/>
      <x:c r="G71" s="12"/>
      <x:c r="H71" s="12"/>
      <x:c r="I71" s="12"/>
    </x:row>
    <x:row r="72">
      <x:c r="A72" s="37"/>
      <x:c r="B72" s="12"/>
      <x:c r="C72" s="12"/>
      <x:c r="D72" s="12"/>
      <x:c r="E72" s="12"/>
      <x:c r="F72" s="12"/>
      <x:c r="G72" s="12"/>
      <x:c r="H72" s="12"/>
      <x:c r="I72" s="12"/>
    </x:row>
    <x:row r="73">
      <x:c r="A73" s="37"/>
      <x:c r="B73" s="12"/>
      <x:c r="C73" s="12"/>
      <x:c r="D73" s="12"/>
      <x:c r="E73" s="12"/>
      <x:c r="F73" s="12"/>
      <x:c r="G73" s="12"/>
      <x:c r="H73" s="12"/>
      <x:c r="I73" s="12"/>
    </x:row>
    <x:row r="74">
      <x:c r="A74" s="37"/>
      <x:c r="B74" s="12"/>
      <x:c r="C74" s="12"/>
      <x:c r="D74" s="12"/>
      <x:c r="E74" s="12"/>
      <x:c r="F74" s="12"/>
      <x:c r="G74" s="12"/>
      <x:c r="H74" s="12"/>
      <x:c r="I74" s="12"/>
    </x:row>
    <x:row r="75">
      <x:c r="A75" s="37"/>
      <x:c r="B75" s="12"/>
      <x:c r="C75" s="12"/>
      <x:c r="D75" s="12"/>
      <x:c r="E75" s="12"/>
      <x:c r="F75" s="12"/>
      <x:c r="G75" s="12"/>
      <x:c r="H75" s="12"/>
      <x:c r="I75" s="12"/>
    </x:row>
    <x:row r="76">
      <x:c r="A76" s="37"/>
      <x:c r="B76" s="12"/>
      <x:c r="C76" s="12"/>
      <x:c r="D76" s="12"/>
      <x:c r="E76" s="12"/>
      <x:c r="F76" s="12"/>
      <x:c r="G76" s="12"/>
      <x:c r="H76" s="12"/>
      <x:c r="I76" s="12"/>
    </x:row>
    <x:row r="77">
      <x:c r="A77" s="37"/>
      <x:c r="B77" s="12"/>
      <x:c r="C77" s="12"/>
      <x:c r="D77" s="12"/>
      <x:c r="E77" s="12"/>
      <x:c r="F77" s="12"/>
      <x:c r="G77" s="12"/>
      <x:c r="H77" s="12"/>
      <x:c r="I77" s="12"/>
    </x:row>
    <x:row r="78">
      <x:c r="A78" s="37"/>
      <x:c r="B78" s="12"/>
      <x:c r="C78" s="12"/>
      <x:c r="D78" s="12"/>
      <x:c r="E78" s="12"/>
      <x:c r="F78" s="12"/>
      <x:c r="G78" s="12"/>
      <x:c r="H78" s="12"/>
      <x:c r="I78" s="12"/>
    </x:row>
    <x:row r="79">
      <x:c r="A79" s="37"/>
      <x:c r="B79" s="12"/>
      <x:c r="C79" s="12"/>
      <x:c r="D79" s="12"/>
      <x:c r="E79" s="12"/>
      <x:c r="F79" s="12"/>
      <x:c r="G79" s="12"/>
      <x:c r="H79" s="12"/>
      <x:c r="I79" s="12"/>
    </x:row>
    <x:row r="80">
      <x:c r="A80" s="37"/>
      <x:c r="B80" s="12"/>
      <x:c r="C80" s="12"/>
      <x:c r="D80" s="12"/>
      <x:c r="E80" s="12"/>
      <x:c r="F80" s="12"/>
      <x:c r="G80" s="12"/>
      <x:c r="H80" s="12"/>
      <x:c r="I80" s="12"/>
    </x:row>
    <x:row r="81">
      <x:c r="A81" s="37"/>
      <x:c r="B81" s="12"/>
      <x:c r="C81" s="12"/>
      <x:c r="D81" s="12"/>
      <x:c r="E81" s="12"/>
      <x:c r="F81" s="12"/>
      <x:c r="G81" s="12"/>
      <x:c r="H81" s="12"/>
      <x:c r="I81" s="12"/>
    </x:row>
    <x:row r="82">
      <x:c r="A82" s="37"/>
      <x:c r="B82" s="12"/>
      <x:c r="C82" s="12"/>
      <x:c r="D82" s="12"/>
      <x:c r="E82" s="12"/>
      <x:c r="F82" s="12"/>
      <x:c r="G82" s="12"/>
      <x:c r="H82" s="12"/>
      <x:c r="I82" s="12"/>
    </x:row>
    <x:row r="83">
      <x:c r="A83" s="37"/>
      <x:c r="B83" s="12"/>
      <x:c r="C83" s="12"/>
      <x:c r="D83" s="12"/>
      <x:c r="E83" s="12"/>
      <x:c r="F83" s="12"/>
      <x:c r="G83" s="12"/>
      <x:c r="H83" s="12"/>
      <x:c r="I83" s="12"/>
    </x:row>
    <x:row r="84">
      <x:c r="A84" s="37"/>
      <x:c r="B84" s="12"/>
      <x:c r="C84" s="12"/>
      <x:c r="D84" s="12"/>
      <x:c r="E84" s="12"/>
      <x:c r="F84" s="12"/>
      <x:c r="G84" s="12"/>
      <x:c r="H84" s="12"/>
      <x:c r="I84" s="12"/>
    </x:row>
    <x:row r="85">
      <x:c r="A85" s="37"/>
      <x:c r="B85" s="12"/>
      <x:c r="C85" s="12"/>
      <x:c r="D85" s="12"/>
      <x:c r="E85" s="12"/>
      <x:c r="F85" s="12"/>
      <x:c r="G85" s="12"/>
      <x:c r="H85" s="12"/>
      <x:c r="I85" s="12"/>
    </x:row>
    <x:row r="86">
      <x:c r="A86" s="37"/>
      <x:c r="B86" s="12"/>
      <x:c r="C86" s="12"/>
      <x:c r="D86" s="12"/>
      <x:c r="E86" s="12"/>
      <x:c r="F86" s="12"/>
      <x:c r="G86" s="12"/>
      <x:c r="H86" s="12"/>
      <x:c r="I86" s="12"/>
    </x:row>
    <x:row r="87">
      <x:c r="A87" s="37"/>
      <x:c r="B87" s="12"/>
      <x:c r="C87" s="12"/>
      <x:c r="D87" s="12"/>
      <x:c r="E87" s="12"/>
      <x:c r="F87" s="12"/>
      <x:c r="G87" s="12"/>
      <x:c r="H87" s="12"/>
      <x:c r="I87" s="12"/>
    </x:row>
    <x:row r="88">
      <x:c r="A88" s="37"/>
      <x:c r="B88" s="12"/>
      <x:c r="C88" s="12"/>
      <x:c r="D88" s="12"/>
      <x:c r="E88" s="12"/>
      <x:c r="F88" s="12"/>
      <x:c r="G88" s="12"/>
      <x:c r="H88" s="12"/>
      <x:c r="I88" s="12"/>
    </x:row>
    <x:row r="89">
      <x:c r="A89" s="37"/>
      <x:c r="B89" s="12"/>
      <x:c r="C89" s="12"/>
      <x:c r="D89" s="12"/>
      <x:c r="E89" s="12"/>
      <x:c r="F89" s="12"/>
      <x:c r="G89" s="12"/>
      <x:c r="H89" s="12"/>
      <x:c r="I89" s="12"/>
    </x:row>
    <x:row r="90">
      <x:c r="A90" s="37"/>
      <x:c r="B90" s="12"/>
      <x:c r="C90" s="12"/>
      <x:c r="D90" s="12"/>
      <x:c r="E90" s="12"/>
      <x:c r="F90" s="12"/>
      <x:c r="G90" s="12"/>
      <x:c r="H90" s="12"/>
      <x:c r="I90" s="12"/>
    </x:row>
    <x:row r="91">
      <x:c r="A91" s="37"/>
      <x:c r="B91" s="12"/>
      <x:c r="C91" s="12"/>
      <x:c r="D91" s="12"/>
      <x:c r="E91" s="12"/>
      <x:c r="F91" s="12"/>
      <x:c r="G91" s="12"/>
      <x:c r="H91" s="12"/>
      <x:c r="I91" s="12"/>
    </x:row>
    <x:row r="92">
      <x:c r="A92" s="37"/>
      <x:c r="B92" s="12"/>
      <x:c r="C92" s="12"/>
      <x:c r="D92" s="12"/>
      <x:c r="E92" s="12"/>
      <x:c r="F92" s="12"/>
      <x:c r="G92" s="12"/>
      <x:c r="H92" s="12"/>
      <x:c r="I92" s="12"/>
    </x:row>
    <x:row r="93">
      <x:c r="A93" s="37"/>
      <x:c r="B93" s="12"/>
      <x:c r="C93" s="12"/>
      <x:c r="D93" s="12"/>
      <x:c r="E93" s="12"/>
      <x:c r="F93" s="12"/>
      <x:c r="G93" s="12"/>
      <x:c r="H93" s="12"/>
      <x:c r="I93" s="12"/>
    </x:row>
    <x:row r="94">
      <x:c r="A94" s="37"/>
      <x:c r="B94" s="12"/>
      <x:c r="C94" s="12"/>
      <x:c r="D94" s="12"/>
      <x:c r="E94" s="12"/>
      <x:c r="F94" s="12"/>
      <x:c r="G94" s="12"/>
      <x:c r="H94" s="12"/>
      <x:c r="I94" s="12"/>
    </x:row>
    <x:row r="95">
      <x:c r="A95" s="37"/>
      <x:c r="B95" s="12"/>
      <x:c r="C95" s="12"/>
      <x:c r="D95" s="12"/>
      <x:c r="E95" s="12"/>
      <x:c r="F95" s="12"/>
      <x:c r="G95" s="12"/>
      <x:c r="H95" s="12"/>
      <x:c r="I95" s="12"/>
    </x:row>
    <x:row r="96">
      <x:c r="A96" s="37"/>
      <x:c r="B96" s="12"/>
      <x:c r="C96" s="12"/>
      <x:c r="D96" s="12"/>
      <x:c r="E96" s="12"/>
      <x:c r="F96" s="12"/>
      <x:c r="G96" s="12"/>
      <x:c r="H96" s="12"/>
      <x:c r="I96" s="12"/>
    </x:row>
    <x:row r="97">
      <x:c r="A97" s="37"/>
      <x:c r="B97" s="12"/>
      <x:c r="C97" s="12"/>
      <x:c r="D97" s="12"/>
      <x:c r="E97" s="12"/>
      <x:c r="F97" s="12"/>
      <x:c r="G97" s="12"/>
      <x:c r="H97" s="12"/>
      <x:c r="I97" s="12"/>
    </x:row>
    <x:row r="98">
      <x:c r="A98" s="37"/>
      <x:c r="B98" s="12"/>
      <x:c r="C98" s="12"/>
      <x:c r="D98" s="12"/>
      <x:c r="E98" s="12"/>
      <x:c r="F98" s="12"/>
      <x:c r="G98" s="12"/>
      <x:c r="H98" s="12"/>
      <x:c r="I98" s="12"/>
    </x:row>
    <x:row r="99">
      <x:c r="A99" s="37"/>
      <x:c r="B99" s="12"/>
      <x:c r="C99" s="12"/>
      <x:c r="D99" s="12"/>
      <x:c r="E99" s="12"/>
      <x:c r="F99" s="12"/>
      <x:c r="G99" s="12"/>
      <x:c r="H99" s="12"/>
      <x:c r="I99" s="12"/>
    </x:row>
    <x:row r="100">
      <x:c r="A100" s="37"/>
      <x:c r="B100" s="12"/>
      <x:c r="C100" s="12"/>
      <x:c r="D100" s="12"/>
      <x:c r="E100" s="12"/>
      <x:c r="F100" s="12"/>
      <x:c r="G100" s="12"/>
      <x:c r="H100" s="12"/>
      <x:c r="I100" s="12"/>
    </x:row>
    <x:row r="101">
      <x:c r="A101" s="37"/>
      <x:c r="B101" s="12"/>
      <x:c r="C101" s="12"/>
      <x:c r="D101" s="12"/>
      <x:c r="E101" s="12"/>
      <x:c r="F101" s="12"/>
      <x:c r="G101" s="12"/>
      <x:c r="H101" s="12"/>
      <x:c r="I101" s="12"/>
    </x:row>
    <x:row r="102">
      <x:c r="A102" s="37"/>
      <x:c r="B102" s="12"/>
      <x:c r="C102" s="12"/>
      <x:c r="D102" s="12"/>
      <x:c r="E102" s="12"/>
      <x:c r="F102" s="12"/>
      <x:c r="G102" s="12"/>
      <x:c r="H102" s="12"/>
      <x:c r="I102" s="12"/>
    </x:row>
    <x:row r="103">
      <x:c r="A103" s="37"/>
      <x:c r="B103" s="12"/>
      <x:c r="C103" s="12"/>
      <x:c r="D103" s="12"/>
      <x:c r="E103" s="12"/>
      <x:c r="F103" s="12"/>
      <x:c r="G103" s="12"/>
      <x:c r="H103" s="12"/>
      <x:c r="I103" s="12"/>
    </x:row>
    <x:row r="104">
      <x:c r="A104" s="37"/>
      <x:c r="B104" s="12"/>
      <x:c r="C104" s="12"/>
      <x:c r="D104" s="12"/>
      <x:c r="E104" s="12"/>
      <x:c r="F104" s="12"/>
      <x:c r="G104" s="12"/>
      <x:c r="H104" s="12"/>
      <x:c r="I104" s="12"/>
    </x:row>
    <x:row r="105">
      <x:c r="A105" s="37"/>
      <x:c r="B105" s="12"/>
      <x:c r="C105" s="12"/>
      <x:c r="D105" s="12"/>
      <x:c r="E105" s="12"/>
      <x:c r="F105" s="12"/>
      <x:c r="G105" s="12"/>
      <x:c r="H105" s="12"/>
      <x:c r="I105" s="12"/>
    </x:row>
    <x:row r="106">
      <x:c r="A106" s="37"/>
      <x:c r="B106" s="12"/>
      <x:c r="C106" s="12"/>
      <x:c r="D106" s="12"/>
      <x:c r="E106" s="12"/>
      <x:c r="F106" s="12"/>
      <x:c r="G106" s="12"/>
      <x:c r="H106" s="12"/>
      <x:c r="I106" s="12"/>
    </x:row>
    <x:row r="107">
      <x:c r="A107" s="37"/>
      <x:c r="B107" s="12"/>
      <x:c r="C107" s="12"/>
      <x:c r="D107" s="12"/>
      <x:c r="E107" s="12"/>
      <x:c r="F107" s="12"/>
      <x:c r="G107" s="12"/>
      <x:c r="H107" s="12"/>
      <x:c r="I107" s="12"/>
    </x:row>
    <x:row r="108">
      <x:c r="A108" s="37"/>
      <x:c r="B108" s="12"/>
      <x:c r="C108" s="12"/>
      <x:c r="D108" s="12"/>
      <x:c r="E108" s="12"/>
      <x:c r="F108" s="12"/>
      <x:c r="G108" s="12"/>
      <x:c r="H108" s="12"/>
      <x:c r="I108" s="12"/>
    </x:row>
    <x:row r="109">
      <x:c r="A109" s="37"/>
      <x:c r="B109" s="12"/>
      <x:c r="C109" s="12"/>
      <x:c r="D109" s="12"/>
      <x:c r="E109" s="12"/>
      <x:c r="F109" s="12"/>
      <x:c r="G109" s="12"/>
      <x:c r="H109" s="12"/>
      <x:c r="I109" s="12"/>
    </x:row>
    <x:row r="110">
      <x:c r="A110" s="37"/>
      <x:c r="B110" s="12"/>
      <x:c r="C110" s="12"/>
      <x:c r="D110" s="12"/>
      <x:c r="E110" s="12"/>
      <x:c r="F110" s="12"/>
      <x:c r="G110" s="12"/>
      <x:c r="H110" s="12"/>
      <x:c r="I110" s="12"/>
    </x:row>
    <x:row r="111">
      <x:c r="A111" s="37"/>
      <x:c r="B111" s="12"/>
      <x:c r="C111" s="12"/>
      <x:c r="D111" s="12"/>
      <x:c r="E111" s="12"/>
      <x:c r="F111" s="12"/>
      <x:c r="G111" s="12"/>
      <x:c r="H111" s="12"/>
      <x:c r="I111" s="12"/>
    </x:row>
    <x:row r="112">
      <x:c r="A112" s="37"/>
      <x:c r="B112" s="12"/>
      <x:c r="C112" s="12"/>
      <x:c r="D112" s="12"/>
      <x:c r="E112" s="12"/>
      <x:c r="F112" s="12"/>
      <x:c r="G112" s="12"/>
      <x:c r="H112" s="12"/>
      <x:c r="I112" s="12"/>
    </x:row>
    <x:row r="113">
      <x:c r="A113" s="37"/>
      <x:c r="B113" s="12"/>
      <x:c r="C113" s="12"/>
      <x:c r="D113" s="12"/>
      <x:c r="E113" s="12"/>
      <x:c r="F113" s="12"/>
      <x:c r="G113" s="12"/>
      <x:c r="H113" s="12"/>
      <x:c r="I113" s="12"/>
    </x:row>
    <x:row r="114">
      <x:c r="A114" s="37"/>
      <x:c r="B114" s="12"/>
      <x:c r="C114" s="12"/>
      <x:c r="D114" s="12"/>
      <x:c r="E114" s="12"/>
      <x:c r="F114" s="12"/>
      <x:c r="G114" s="12"/>
      <x:c r="H114" s="12"/>
      <x:c r="I114" s="12"/>
    </x:row>
    <x:row r="115">
      <x:c r="A115" s="37"/>
      <x:c r="B115" s="12"/>
      <x:c r="C115" s="12"/>
      <x:c r="D115" s="12"/>
      <x:c r="E115" s="12"/>
      <x:c r="F115" s="12"/>
      <x:c r="G115" s="12"/>
      <x:c r="H115" s="12"/>
      <x:c r="I115" s="12"/>
    </x:row>
    <x:row r="116">
      <x:c r="A116" s="37"/>
      <x:c r="B116" s="12"/>
      <x:c r="C116" s="12"/>
      <x:c r="D116" s="12"/>
      <x:c r="E116" s="12"/>
      <x:c r="F116" s="12"/>
      <x:c r="G116" s="12"/>
      <x:c r="H116" s="12"/>
      <x:c r="I116" s="12"/>
    </x:row>
    <x:row r="117">
      <x:c r="A117" s="37"/>
      <x:c r="B117" s="12"/>
      <x:c r="C117" s="12"/>
      <x:c r="D117" s="12"/>
      <x:c r="E117" s="12"/>
      <x:c r="F117" s="12"/>
      <x:c r="G117" s="12"/>
      <x:c r="H117" s="12"/>
      <x:c r="I117" s="12"/>
    </x:row>
    <x:row r="118">
      <x:c r="A118" s="37"/>
      <x:c r="B118" s="12"/>
      <x:c r="C118" s="12"/>
      <x:c r="D118" s="12"/>
      <x:c r="E118" s="12"/>
      <x:c r="F118" s="12"/>
      <x:c r="G118" s="12"/>
      <x:c r="H118" s="12"/>
      <x:c r="I118" s="12"/>
    </x:row>
    <x:row r="119">
      <x:c r="A119" s="37"/>
      <x:c r="B119" s="12"/>
      <x:c r="C119" s="12"/>
      <x:c r="D119" s="12"/>
      <x:c r="E119" s="12"/>
      <x:c r="F119" s="12"/>
      <x:c r="G119" s="12"/>
      <x:c r="H119" s="12"/>
      <x:c r="I119" s="12"/>
    </x:row>
    <x:row r="120">
      <x:c r="A120" s="37"/>
      <x:c r="B120" s="12"/>
      <x:c r="C120" s="12"/>
      <x:c r="D120" s="12"/>
      <x:c r="E120" s="12"/>
      <x:c r="F120" s="12"/>
      <x:c r="G120" s="12"/>
      <x:c r="H120" s="12"/>
      <x:c r="I120" s="12"/>
    </x:row>
    <x:row r="121">
      <x:c r="A121" s="37"/>
      <x:c r="B121" s="12"/>
      <x:c r="C121" s="12"/>
      <x:c r="D121" s="12"/>
      <x:c r="E121" s="12"/>
      <x:c r="F121" s="12"/>
      <x:c r="G121" s="12"/>
      <x:c r="H121" s="12"/>
      <x:c r="I121" s="12"/>
    </x:row>
    <x:row r="122">
      <x:c r="A122" s="37"/>
      <x:c r="B122" s="12"/>
      <x:c r="C122" s="12"/>
      <x:c r="D122" s="12"/>
      <x:c r="E122" s="12"/>
      <x:c r="F122" s="12"/>
      <x:c r="G122" s="12"/>
      <x:c r="H122" s="12"/>
      <x:c r="I122" s="12"/>
    </x:row>
    <x:row r="123">
      <x:c r="A123" s="37"/>
      <x:c r="B123" s="12"/>
      <x:c r="C123" s="12"/>
      <x:c r="D123" s="12"/>
      <x:c r="E123" s="12"/>
      <x:c r="F123" s="12"/>
      <x:c r="G123" s="12"/>
      <x:c r="H123" s="12"/>
      <x:c r="I123" s="12"/>
    </x:row>
    <x:row r="124">
      <x:c r="A124" s="37"/>
      <x:c r="B124" s="12"/>
      <x:c r="C124" s="12"/>
      <x:c r="D124" s="12"/>
      <x:c r="E124" s="12"/>
      <x:c r="F124" s="12"/>
      <x:c r="G124" s="12"/>
      <x:c r="H124" s="12"/>
      <x:c r="I124" s="12"/>
    </x:row>
    <x:row r="125">
      <x:c r="A125" s="37"/>
      <x:c r="B125" s="12"/>
      <x:c r="C125" s="12"/>
      <x:c r="D125" s="12"/>
      <x:c r="E125" s="12"/>
      <x:c r="F125" s="12"/>
      <x:c r="G125" s="12"/>
      <x:c r="H125" s="12"/>
      <x:c r="I125" s="12"/>
    </x:row>
    <x:row r="126">
      <x:c r="A126" s="37"/>
      <x:c r="B126" s="12"/>
      <x:c r="C126" s="12"/>
      <x:c r="D126" s="12"/>
      <x:c r="E126" s="12"/>
      <x:c r="F126" s="12"/>
      <x:c r="G126" s="12"/>
      <x:c r="H126" s="12"/>
      <x:c r="I126" s="12"/>
    </x:row>
    <x:row r="127">
      <x:c r="A127" s="37"/>
      <x:c r="B127" s="12"/>
      <x:c r="C127" s="12"/>
      <x:c r="D127" s="12"/>
      <x:c r="E127" s="12"/>
      <x:c r="F127" s="12"/>
      <x:c r="G127" s="12"/>
      <x:c r="H127" s="12"/>
      <x:c r="I127" s="12"/>
    </x:row>
    <x:row r="128">
      <x:c r="A128" s="37"/>
      <x:c r="B128" s="12"/>
      <x:c r="C128" s="12"/>
      <x:c r="D128" s="12"/>
      <x:c r="E128" s="12"/>
      <x:c r="F128" s="12"/>
      <x:c r="G128" s="12"/>
      <x:c r="H128" s="12"/>
      <x:c r="I128" s="12"/>
    </x:row>
    <x:row r="129">
      <x:c r="A129" s="37"/>
      <x:c r="B129" s="12"/>
      <x:c r="C129" s="12"/>
      <x:c r="D129" s="12"/>
      <x:c r="E129" s="12"/>
      <x:c r="F129" s="12"/>
      <x:c r="G129" s="12"/>
      <x:c r="H129" s="12"/>
      <x:c r="I129" s="12"/>
    </x:row>
    <x:row r="130">
      <x:c r="A130" s="37"/>
      <x:c r="B130" s="12"/>
      <x:c r="C130" s="12"/>
      <x:c r="D130" s="12"/>
      <x:c r="E130" s="12"/>
      <x:c r="F130" s="12"/>
      <x:c r="G130" s="12"/>
      <x:c r="H130" s="12"/>
      <x:c r="I130" s="12"/>
    </x:row>
    <x:row r="131">
      <x:c r="A131" s="37"/>
      <x:c r="B131" s="12"/>
      <x:c r="C131" s="12"/>
      <x:c r="D131" s="12"/>
      <x:c r="E131" s="12"/>
      <x:c r="F131" s="12"/>
      <x:c r="G131" s="12"/>
      <x:c r="H131" s="12"/>
      <x:c r="I131" s="12"/>
    </x:row>
    <x:row r="132">
      <x:c r="A132" s="37"/>
      <x:c r="B132" s="12"/>
      <x:c r="C132" s="12"/>
      <x:c r="D132" s="12"/>
      <x:c r="E132" s="12"/>
      <x:c r="F132" s="12"/>
      <x:c r="G132" s="12"/>
      <x:c r="H132" s="12"/>
      <x:c r="I132" s="12"/>
    </x:row>
    <x:row r="133">
      <x:c r="A133" s="37"/>
      <x:c r="B133" s="12"/>
      <x:c r="C133" s="12"/>
      <x:c r="D133" s="12"/>
      <x:c r="E133" s="12"/>
      <x:c r="F133" s="12"/>
      <x:c r="G133" s="12"/>
      <x:c r="H133" s="12"/>
      <x:c r="I133" s="12"/>
    </x:row>
    <x:row r="134">
      <x:c r="A134" s="37"/>
      <x:c r="B134" s="12"/>
      <x:c r="C134" s="12"/>
      <x:c r="D134" s="12"/>
      <x:c r="E134" s="12"/>
      <x:c r="F134" s="12"/>
      <x:c r="G134" s="12"/>
      <x:c r="H134" s="12"/>
      <x:c r="I134" s="12"/>
    </x:row>
    <x:row r="135">
      <x:c r="A135" s="37"/>
      <x:c r="B135" s="12"/>
      <x:c r="C135" s="12"/>
      <x:c r="D135" s="12"/>
      <x:c r="E135" s="12"/>
      <x:c r="F135" s="12"/>
      <x:c r="G135" s="12"/>
      <x:c r="H135" s="12"/>
      <x:c r="I135" s="12"/>
    </x:row>
    <x:row r="136">
      <x:c r="A136" s="37"/>
      <x:c r="B136" s="12"/>
      <x:c r="C136" s="12"/>
      <x:c r="D136" s="12"/>
      <x:c r="E136" s="12"/>
      <x:c r="F136" s="12"/>
      <x:c r="G136" s="12"/>
      <x:c r="H136" s="12"/>
      <x:c r="I136" s="12"/>
    </x:row>
    <x:row r="137">
      <x:c r="A137" s="37"/>
      <x:c r="B137" s="12"/>
      <x:c r="C137" s="12"/>
      <x:c r="D137" s="12"/>
      <x:c r="E137" s="12"/>
      <x:c r="F137" s="12"/>
      <x:c r="G137" s="12"/>
      <x:c r="H137" s="12"/>
      <x:c r="I137" s="12"/>
    </x:row>
    <x:row r="138">
      <x:c r="A138" s="37"/>
      <x:c r="B138" s="12"/>
      <x:c r="C138" s="12"/>
      <x:c r="D138" s="12"/>
      <x:c r="E138" s="12"/>
      <x:c r="F138" s="12"/>
      <x:c r="G138" s="12"/>
      <x:c r="H138" s="12"/>
      <x:c r="I138" s="12"/>
    </x:row>
    <x:row r="139">
      <x:c r="A139" s="37"/>
      <x:c r="B139" s="12"/>
      <x:c r="C139" s="12"/>
      <x:c r="D139" s="12"/>
      <x:c r="E139" s="12"/>
      <x:c r="F139" s="12"/>
      <x:c r="G139" s="12"/>
      <x:c r="H139" s="12"/>
      <x:c r="I139" s="12"/>
    </x:row>
    <x:row r="140">
      <x:c r="A140" s="37"/>
      <x:c r="B140" s="12"/>
      <x:c r="C140" s="12"/>
      <x:c r="D140" s="12"/>
      <x:c r="E140" s="12"/>
      <x:c r="F140" s="12"/>
      <x:c r="G140" s="12"/>
      <x:c r="H140" s="12"/>
      <x:c r="I140" s="12"/>
    </x:row>
    <x:row r="141">
      <x:c r="A141" s="37"/>
      <x:c r="B141" s="12"/>
      <x:c r="C141" s="12"/>
      <x:c r="D141" s="12"/>
      <x:c r="E141" s="12"/>
      <x:c r="F141" s="12"/>
      <x:c r="G141" s="12"/>
      <x:c r="H141" s="12"/>
      <x:c r="I141" s="12"/>
    </x:row>
    <x:row r="142">
      <x:c r="A142" s="37"/>
      <x:c r="B142" s="12"/>
      <x:c r="C142" s="12"/>
      <x:c r="D142" s="12"/>
      <x:c r="E142" s="12"/>
      <x:c r="F142" s="12"/>
      <x:c r="G142" s="12"/>
      <x:c r="H142" s="12"/>
      <x:c r="I142" s="12"/>
    </x:row>
    <x:row r="143">
      <x:c r="A143" s="37"/>
      <x:c r="B143" s="12"/>
      <x:c r="C143" s="12"/>
      <x:c r="D143" s="12"/>
      <x:c r="E143" s="12"/>
      <x:c r="F143" s="12"/>
      <x:c r="G143" s="12"/>
      <x:c r="H143" s="12"/>
      <x:c r="I143" s="12"/>
    </x:row>
    <x:row r="144">
      <x:c r="A144" s="37"/>
      <x:c r="B144" s="12"/>
      <x:c r="C144" s="12"/>
      <x:c r="D144" s="12"/>
      <x:c r="E144" s="12"/>
      <x:c r="F144" s="12"/>
      <x:c r="G144" s="12"/>
      <x:c r="H144" s="12"/>
      <x:c r="I144" s="12"/>
    </x:row>
    <x:row r="145">
      <x:c r="A145" s="37"/>
      <x:c r="B145" s="12"/>
      <x:c r="C145" s="12"/>
      <x:c r="D145" s="12"/>
      <x:c r="E145" s="12"/>
      <x:c r="F145" s="12"/>
      <x:c r="G145" s="12"/>
      <x:c r="H145" s="12"/>
      <x:c r="I145" s="12"/>
    </x:row>
    <x:row r="146">
      <x:c r="A146" s="37"/>
      <x:c r="B146" s="12"/>
      <x:c r="C146" s="12"/>
      <x:c r="D146" s="12"/>
      <x:c r="E146" s="12"/>
      <x:c r="F146" s="12"/>
      <x:c r="G146" s="12"/>
      <x:c r="H146" s="12"/>
      <x:c r="I146" s="12"/>
    </x:row>
    <x:row r="147">
      <x:c r="A147" s="37"/>
      <x:c r="B147" s="12"/>
      <x:c r="C147" s="12"/>
      <x:c r="D147" s="12"/>
      <x:c r="E147" s="12"/>
      <x:c r="F147" s="12"/>
      <x:c r="G147" s="12"/>
      <x:c r="H147" s="12"/>
      <x:c r="I147" s="12"/>
    </x:row>
    <x:row r="148">
      <x:c r="A148" s="37"/>
      <x:c r="B148" s="12"/>
      <x:c r="C148" s="12"/>
      <x:c r="D148" s="12"/>
      <x:c r="E148" s="12"/>
      <x:c r="F148" s="12"/>
      <x:c r="G148" s="12"/>
      <x:c r="H148" s="12"/>
      <x:c r="I148" s="12"/>
    </x:row>
    <x:row r="149">
      <x:c r="A149" s="37"/>
      <x:c r="B149" s="12"/>
      <x:c r="C149" s="12"/>
      <x:c r="D149" s="12"/>
      <x:c r="E149" s="12"/>
      <x:c r="F149" s="12"/>
      <x:c r="G149" s="12"/>
      <x:c r="H149" s="12"/>
      <x:c r="I149" s="12"/>
    </x:row>
    <x:row r="150">
      <x:c r="A150" s="37"/>
      <x:c r="B150" s="12"/>
      <x:c r="C150" s="12"/>
      <x:c r="D150" s="12"/>
      <x:c r="E150" s="12"/>
      <x:c r="F150" s="12"/>
      <x:c r="G150" s="12"/>
      <x:c r="H150" s="12"/>
      <x:c r="I150" s="12"/>
    </x:row>
    <x:row r="151">
      <x:c r="A151" s="37"/>
      <x:c r="B151" s="12"/>
      <x:c r="C151" s="12"/>
      <x:c r="D151" s="12"/>
      <x:c r="E151" s="12"/>
      <x:c r="F151" s="12"/>
      <x:c r="G151" s="12"/>
      <x:c r="H151" s="12"/>
      <x:c r="I151" s="12"/>
    </x:row>
    <x:row r="152">
      <x:c r="A152" s="37"/>
      <x:c r="B152" s="12"/>
      <x:c r="C152" s="12"/>
      <x:c r="D152" s="12"/>
      <x:c r="E152" s="12"/>
      <x:c r="F152" s="12"/>
      <x:c r="G152" s="12"/>
      <x:c r="H152" s="12"/>
      <x:c r="I152" s="12"/>
    </x:row>
    <x:row r="153">
      <x:c r="A153" s="37"/>
      <x:c r="B153" s="12"/>
      <x:c r="C153" s="12"/>
      <x:c r="D153" s="12"/>
      <x:c r="E153" s="12"/>
      <x:c r="F153" s="12"/>
      <x:c r="G153" s="12"/>
      <x:c r="H153" s="12"/>
      <x:c r="I153" s="12"/>
    </x:row>
    <x:row r="154">
      <x:c r="A154" s="37"/>
      <x:c r="B154" s="12"/>
      <x:c r="C154" s="12"/>
      <x:c r="D154" s="12"/>
      <x:c r="E154" s="12"/>
      <x:c r="F154" s="12"/>
      <x:c r="G154" s="12"/>
      <x:c r="H154" s="12"/>
      <x:c r="I154" s="12"/>
    </x:row>
    <x:row r="155">
      <x:c r="A155" s="37"/>
      <x:c r="B155" s="12"/>
      <x:c r="C155" s="12"/>
      <x:c r="D155" s="12"/>
      <x:c r="E155" s="12"/>
      <x:c r="F155" s="12"/>
      <x:c r="G155" s="12"/>
      <x:c r="H155" s="12"/>
      <x:c r="I155" s="12"/>
    </x:row>
    <x:row r="156">
      <x:c r="A156" s="37"/>
      <x:c r="B156" s="12"/>
      <x:c r="C156" s="12"/>
      <x:c r="D156" s="12"/>
      <x:c r="E156" s="12"/>
      <x:c r="F156" s="12"/>
      <x:c r="G156" s="12"/>
      <x:c r="H156" s="12"/>
      <x:c r="I156" s="12"/>
    </x:row>
    <x:row r="157">
      <x:c r="A157" s="37"/>
      <x:c r="B157" s="12"/>
      <x:c r="C157" s="12"/>
      <x:c r="D157" s="12"/>
      <x:c r="E157" s="12"/>
      <x:c r="F157" s="12"/>
      <x:c r="G157" s="12"/>
      <x:c r="H157" s="12"/>
      <x:c r="I157" s="12"/>
    </x:row>
    <x:row r="158">
      <x:c r="A158" s="37"/>
      <x:c r="B158" s="12"/>
      <x:c r="C158" s="12"/>
      <x:c r="D158" s="12"/>
      <x:c r="E158" s="12"/>
      <x:c r="F158" s="12"/>
      <x:c r="G158" s="12"/>
      <x:c r="H158" s="12"/>
      <x:c r="I158" s="12"/>
    </x:row>
    <x:row r="159">
      <x:c r="A159" s="37"/>
      <x:c r="B159" s="12"/>
      <x:c r="C159" s="12"/>
      <x:c r="D159" s="12"/>
      <x:c r="E159" s="12"/>
      <x:c r="F159" s="12"/>
      <x:c r="G159" s="12"/>
      <x:c r="H159" s="12"/>
      <x:c r="I159" s="12"/>
    </x:row>
    <x:row r="160">
      <x:c r="A160" s="37"/>
      <x:c r="B160" s="12"/>
      <x:c r="C160" s="12"/>
      <x:c r="D160" s="12"/>
      <x:c r="E160" s="12"/>
      <x:c r="F160" s="12"/>
      <x:c r="G160" s="12"/>
      <x:c r="H160" s="12"/>
      <x:c r="I160" s="12"/>
    </x:row>
    <x:row r="161">
      <x:c r="A161" s="37"/>
      <x:c r="B161" s="12"/>
      <x:c r="C161" s="12"/>
      <x:c r="D161" s="12"/>
      <x:c r="E161" s="12"/>
      <x:c r="F161" s="12"/>
      <x:c r="G161" s="12"/>
      <x:c r="H161" s="12"/>
      <x:c r="I161" s="12"/>
    </x:row>
    <x:row r="162">
      <x:c r="A162" s="37"/>
      <x:c r="B162" s="12"/>
      <x:c r="C162" s="12"/>
      <x:c r="D162" s="12"/>
      <x:c r="E162" s="12"/>
      <x:c r="F162" s="12"/>
      <x:c r="G162" s="12"/>
      <x:c r="H162" s="12"/>
      <x:c r="I162" s="12"/>
    </x:row>
    <x:row r="163">
      <x:c r="A163" s="37"/>
      <x:c r="B163" s="12"/>
      <x:c r="C163" s="12"/>
      <x:c r="D163" s="12"/>
      <x:c r="E163" s="12"/>
      <x:c r="F163" s="12"/>
      <x:c r="G163" s="12"/>
      <x:c r="H163" s="12"/>
      <x:c r="I163" s="12"/>
    </x:row>
    <x:row r="164">
      <x:c r="A164" s="37"/>
      <x:c r="B164" s="12"/>
      <x:c r="C164" s="12"/>
      <x:c r="D164" s="12"/>
      <x:c r="E164" s="12"/>
      <x:c r="F164" s="12"/>
      <x:c r="G164" s="12"/>
      <x:c r="H164" s="12"/>
      <x:c r="I164" s="12"/>
    </x:row>
    <x:row r="165">
      <x:c r="A165" s="37"/>
      <x:c r="B165" s="12"/>
      <x:c r="C165" s="12"/>
      <x:c r="D165" s="12"/>
      <x:c r="E165" s="12"/>
      <x:c r="F165" s="12"/>
      <x:c r="G165" s="12"/>
      <x:c r="H165" s="12"/>
      <x:c r="I165" s="12"/>
    </x:row>
    <x:row r="166">
      <x:c r="A166" s="37"/>
      <x:c r="B166" s="12"/>
      <x:c r="C166" s="12"/>
      <x:c r="D166" s="12"/>
      <x:c r="E166" s="12"/>
      <x:c r="F166" s="12"/>
      <x:c r="G166" s="12"/>
      <x:c r="H166" s="12"/>
      <x:c r="I166" s="12"/>
    </x:row>
    <x:row r="167">
      <x:c r="A167" s="37"/>
      <x:c r="B167" s="12"/>
      <x:c r="C167" s="12"/>
      <x:c r="D167" s="12"/>
      <x:c r="E167" s="12"/>
      <x:c r="F167" s="12"/>
      <x:c r="G167" s="12"/>
      <x:c r="H167" s="12"/>
      <x:c r="I167" s="12"/>
    </x:row>
    <x:row r="168">
      <x:c r="A168" s="37"/>
      <x:c r="B168" s="12"/>
      <x:c r="C168" s="12"/>
      <x:c r="D168" s="12"/>
      <x:c r="E168" s="12"/>
      <x:c r="F168" s="12"/>
      <x:c r="G168" s="12"/>
      <x:c r="H168" s="12"/>
      <x:c r="I168" s="12"/>
    </x:row>
    <x:row r="169">
      <x:c r="A169" s="37"/>
      <x:c r="B169" s="12"/>
      <x:c r="C169" s="12"/>
      <x:c r="D169" s="12"/>
      <x:c r="E169" s="12"/>
      <x:c r="F169" s="12"/>
      <x:c r="G169" s="12"/>
      <x:c r="H169" s="12"/>
      <x:c r="I169" s="12"/>
    </x:row>
    <x:row r="170">
      <x:c r="A170" s="37"/>
      <x:c r="B170" s="12"/>
      <x:c r="C170" s="12"/>
      <x:c r="D170" s="12"/>
      <x:c r="E170" s="12"/>
      <x:c r="F170" s="12"/>
      <x:c r="G170" s="12"/>
      <x:c r="H170" s="12"/>
      <x:c r="I170" s="12"/>
    </x:row>
    <x:row r="171">
      <x:c r="A171" s="37"/>
      <x:c r="B171" s="12"/>
      <x:c r="C171" s="12"/>
      <x:c r="D171" s="12"/>
      <x:c r="E171" s="12"/>
      <x:c r="F171" s="12"/>
      <x:c r="G171" s="12"/>
      <x:c r="H171" s="12"/>
      <x:c r="I171" s="12"/>
    </x:row>
    <x:row r="172">
      <x:c r="A172" s="37"/>
      <x:c r="B172" s="12"/>
      <x:c r="C172" s="12"/>
      <x:c r="D172" s="12"/>
      <x:c r="E172" s="12"/>
      <x:c r="F172" s="12"/>
      <x:c r="G172" s="12"/>
      <x:c r="H172" s="12"/>
      <x:c r="I172" s="12"/>
    </x:row>
    <x:row r="173">
      <x:c r="A173" s="37"/>
      <x:c r="B173" s="12"/>
      <x:c r="C173" s="12"/>
      <x:c r="D173" s="12"/>
      <x:c r="E173" s="12"/>
      <x:c r="F173" s="12"/>
      <x:c r="G173" s="12"/>
      <x:c r="H173" s="12"/>
      <x:c r="I173" s="12"/>
    </x:row>
    <x:row r="174">
      <x:c r="A174" s="37"/>
      <x:c r="B174" s="12"/>
      <x:c r="C174" s="12"/>
      <x:c r="D174" s="12"/>
      <x:c r="E174" s="12"/>
      <x:c r="F174" s="12"/>
      <x:c r="G174" s="12"/>
      <x:c r="H174" s="12"/>
      <x:c r="I174" s="12"/>
    </x:row>
    <x:row r="175">
      <x:c r="A175" s="37"/>
      <x:c r="B175" s="12"/>
      <x:c r="C175" s="12"/>
      <x:c r="D175" s="12"/>
      <x:c r="E175" s="12"/>
      <x:c r="F175" s="12"/>
      <x:c r="G175" s="12"/>
      <x:c r="H175" s="12"/>
      <x:c r="I175" s="12"/>
    </x:row>
    <x:row r="176">
      <x:c r="A176" s="37"/>
      <x:c r="B176" s="12"/>
      <x:c r="C176" s="12"/>
      <x:c r="D176" s="12"/>
      <x:c r="E176" s="12"/>
      <x:c r="F176" s="12"/>
      <x:c r="G176" s="12"/>
      <x:c r="H176" s="12"/>
      <x:c r="I176" s="12"/>
    </x:row>
    <x:row r="177">
      <x:c r="A177" s="37"/>
      <x:c r="B177" s="12"/>
      <x:c r="C177" s="12"/>
      <x:c r="D177" s="12"/>
      <x:c r="E177" s="12"/>
      <x:c r="F177" s="12"/>
      <x:c r="G177" s="12"/>
      <x:c r="H177" s="12"/>
      <x:c r="I177" s="12"/>
    </x:row>
    <x:row r="178">
      <x:c r="A178" s="37"/>
      <x:c r="B178" s="12"/>
      <x:c r="C178" s="12"/>
      <x:c r="D178" s="12"/>
      <x:c r="E178" s="12"/>
      <x:c r="F178" s="12"/>
      <x:c r="G178" s="12"/>
      <x:c r="H178" s="12"/>
      <x:c r="I178" s="12"/>
    </x:row>
    <x:row r="179">
      <x:c r="A179" s="37"/>
      <x:c r="B179" s="12"/>
      <x:c r="C179" s="12"/>
      <x:c r="D179" s="12"/>
      <x:c r="E179" s="12"/>
      <x:c r="F179" s="12"/>
      <x:c r="G179" s="12"/>
      <x:c r="H179" s="12"/>
      <x:c r="I179" s="12"/>
    </x:row>
    <x:row r="180">
      <x:c r="A180" s="37"/>
      <x:c r="B180" s="12"/>
      <x:c r="C180" s="12"/>
      <x:c r="D180" s="12"/>
      <x:c r="E180" s="12"/>
      <x:c r="F180" s="12"/>
      <x:c r="G180" s="12"/>
      <x:c r="H180" s="12"/>
      <x:c r="I180" s="12"/>
    </x:row>
    <x:row r="181">
      <x:c r="A181" s="37"/>
      <x:c r="B181" s="12"/>
      <x:c r="C181" s="12"/>
      <x:c r="D181" s="12"/>
      <x:c r="E181" s="12"/>
      <x:c r="F181" s="12"/>
      <x:c r="G181" s="12"/>
      <x:c r="H181" s="12"/>
      <x:c r="I181" s="12"/>
    </x:row>
    <x:row r="182">
      <x:c r="A182" s="37"/>
      <x:c r="B182" s="12"/>
      <x:c r="C182" s="12"/>
      <x:c r="D182" s="12"/>
      <x:c r="E182" s="12"/>
      <x:c r="F182" s="12"/>
      <x:c r="G182" s="12"/>
      <x:c r="H182" s="12"/>
      <x:c r="I182" s="12"/>
    </x:row>
    <x:row r="183">
      <x:c r="A183" s="37"/>
      <x:c r="B183" s="12"/>
      <x:c r="C183" s="12"/>
      <x:c r="D183" s="12"/>
      <x:c r="E183" s="12"/>
      <x:c r="F183" s="12"/>
      <x:c r="G183" s="12"/>
      <x:c r="H183" s="12"/>
      <x:c r="I183" s="12"/>
    </x:row>
    <x:row r="184">
      <x:c r="A184" s="37"/>
      <x:c r="B184" s="12"/>
      <x:c r="C184" s="12"/>
      <x:c r="D184" s="12"/>
      <x:c r="E184" s="12"/>
      <x:c r="F184" s="12"/>
      <x:c r="G184" s="12"/>
      <x:c r="H184" s="12"/>
      <x:c r="I184" s="12"/>
    </x:row>
    <x:row r="185">
      <x:c r="A185" s="37"/>
      <x:c r="B185" s="12"/>
      <x:c r="C185" s="12"/>
      <x:c r="D185" s="12"/>
      <x:c r="E185" s="12"/>
      <x:c r="F185" s="12"/>
      <x:c r="G185" s="12"/>
      <x:c r="H185" s="12"/>
      <x:c r="I185" s="12"/>
    </x:row>
    <x:row r="186">
      <x:c r="A186" s="37"/>
      <x:c r="B186" s="12"/>
      <x:c r="C186" s="12"/>
      <x:c r="D186" s="12"/>
      <x:c r="E186" s="12"/>
      <x:c r="F186" s="12"/>
      <x:c r="G186" s="12"/>
      <x:c r="H186" s="12"/>
      <x:c r="I186" s="12"/>
    </x:row>
    <x:row r="187">
      <x:c r="A187" s="37"/>
      <x:c r="B187" s="12"/>
      <x:c r="C187" s="12"/>
      <x:c r="D187" s="12"/>
      <x:c r="E187" s="12"/>
      <x:c r="F187" s="12"/>
      <x:c r="G187" s="12"/>
      <x:c r="H187" s="12"/>
      <x:c r="I187" s="12"/>
    </x:row>
    <x:row r="188">
      <x:c r="A188" s="37"/>
      <x:c r="B188" s="12"/>
      <x:c r="C188" s="12"/>
      <x:c r="D188" s="12"/>
      <x:c r="E188" s="12"/>
      <x:c r="F188" s="12"/>
      <x:c r="G188" s="12"/>
      <x:c r="H188" s="12"/>
      <x:c r="I188" s="12"/>
    </x:row>
    <x:row r="189">
      <x:c r="A189" s="37"/>
      <x:c r="B189" s="12"/>
      <x:c r="C189" s="12"/>
      <x:c r="D189" s="12"/>
      <x:c r="E189" s="12"/>
      <x:c r="F189" s="12"/>
      <x:c r="G189" s="12"/>
      <x:c r="H189" s="12"/>
      <x:c r="I189" s="12"/>
    </x:row>
    <x:row r="190">
      <x:c r="A190" s="37"/>
      <x:c r="B190" s="12"/>
      <x:c r="C190" s="12"/>
      <x:c r="D190" s="12"/>
      <x:c r="E190" s="12"/>
      <x:c r="F190" s="12"/>
      <x:c r="G190" s="12"/>
      <x:c r="H190" s="12"/>
      <x:c r="I190" s="12"/>
    </x:row>
    <x:row r="191">
      <x:c r="A191" s="37"/>
      <x:c r="B191" s="12"/>
      <x:c r="C191" s="12"/>
      <x:c r="D191" s="12"/>
      <x:c r="E191" s="12"/>
      <x:c r="F191" s="12"/>
      <x:c r="G191" s="12"/>
      <x:c r="H191" s="12"/>
      <x:c r="I191" s="12"/>
    </x:row>
    <x:row r="192">
      <x:c r="A192" s="37"/>
      <x:c r="B192" s="12"/>
      <x:c r="C192" s="12"/>
      <x:c r="D192" s="12"/>
      <x:c r="E192" s="12"/>
      <x:c r="F192" s="12"/>
      <x:c r="G192" s="12"/>
      <x:c r="H192" s="12"/>
      <x:c r="I192" s="12"/>
    </x:row>
    <x:row r="193">
      <x:c r="A193" s="37"/>
      <x:c r="B193" s="12"/>
      <x:c r="C193" s="12"/>
      <x:c r="D193" s="12"/>
      <x:c r="E193" s="12"/>
      <x:c r="F193" s="12"/>
      <x:c r="G193" s="12"/>
      <x:c r="H193" s="12"/>
      <x:c r="I193" s="12"/>
    </x:row>
    <x:row r="194">
      <x:c r="A194" s="37"/>
      <x:c r="B194" s="12"/>
      <x:c r="C194" s="12"/>
      <x:c r="D194" s="12"/>
      <x:c r="E194" s="12"/>
      <x:c r="F194" s="12"/>
      <x:c r="G194" s="12"/>
      <x:c r="H194" s="12"/>
      <x:c r="I194" s="12"/>
    </x:row>
    <x:row r="195">
      <x:c r="A195" s="37"/>
      <x:c r="B195" s="12"/>
      <x:c r="C195" s="12"/>
      <x:c r="D195" s="12"/>
      <x:c r="E195" s="12"/>
      <x:c r="F195" s="12"/>
      <x:c r="G195" s="12"/>
      <x:c r="H195" s="12"/>
      <x:c r="I195" s="12"/>
    </x:row>
    <x:row r="196">
      <x:c r="A196" s="37"/>
      <x:c r="B196" s="12"/>
      <x:c r="C196" s="12"/>
      <x:c r="D196" s="12"/>
      <x:c r="E196" s="12"/>
      <x:c r="F196" s="12"/>
      <x:c r="G196" s="12"/>
      <x:c r="H196" s="12"/>
      <x:c r="I196" s="12"/>
    </x:row>
    <x:row r="197">
      <x:c r="A197" s="37"/>
      <x:c r="B197" s="12"/>
      <x:c r="C197" s="12"/>
      <x:c r="D197" s="12"/>
      <x:c r="E197" s="12"/>
      <x:c r="F197" s="12"/>
      <x:c r="G197" s="12"/>
      <x:c r="H197" s="12"/>
      <x:c r="I197" s="12"/>
    </x:row>
    <x:row r="198">
      <x:c r="A198" s="37"/>
      <x:c r="B198" s="12"/>
      <x:c r="C198" s="12"/>
      <x:c r="D198" s="12"/>
      <x:c r="E198" s="12"/>
      <x:c r="F198" s="12"/>
      <x:c r="G198" s="12"/>
      <x:c r="H198" s="12"/>
      <x:c r="I198" s="12"/>
    </x:row>
    <x:row r="199">
      <x:c r="A199" s="37"/>
      <x:c r="B199" s="12"/>
      <x:c r="C199" s="12"/>
      <x:c r="D199" s="12"/>
      <x:c r="E199" s="12"/>
      <x:c r="F199" s="12"/>
      <x:c r="G199" s="12"/>
      <x:c r="H199" s="12"/>
      <x:c r="I199" s="12"/>
    </x:row>
    <x:row r="200">
      <x:c r="A200" s="37"/>
      <x:c r="B200" s="12"/>
      <x:c r="C200" s="12"/>
      <x:c r="D200" s="12"/>
      <x:c r="E200" s="12"/>
      <x:c r="F200" s="12"/>
      <x:c r="G200" s="12"/>
      <x:c r="H200" s="12"/>
      <x:c r="I200" s="12"/>
    </x:row>
  </x:sheetData>
  <x:dataValidations count="5">
    <x:dataValidation type="list" sqref="C2:C200">
      <x:formula1>"Proceed,Iterate,Park,Kill"</x:formula1>
    </x:dataValidation>
    <x:dataValidation type="list" sqref="F2:F200">
      <x:formula1>"Yes,No,Partially"</x:formula1>
    </x:dataValidation>
    <x:dataValidation type="list" sqref="G2:G200">
      <x:formula1>"Cheick,Codex,GPT,TBD"</x:formula1>
    </x:dataValidation>
    <x:dataValidation type="list" sqref="F13">
      <x:formula1>"Yes,No"</x:formula1>
    </x:dataValidation>
    <x:dataValidation type="list" sqref="G13">
      <x:formula1>"Cheick,Codex,GPT,TBD"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bc06fe9ce124536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5.75" hidden="0" customWidth="1"/>
    <x:col min="2" max="2" width="11.130000114440918" hidden="0" customWidth="1"/>
    <x:col min="3" max="3" width="38" hidden="0" customWidth="1"/>
    <x:col min="4" max="4" width="8.880000114440918" hidden="0" customWidth="1"/>
    <x:col min="5" max="5" width="8.880000114440918" hidden="0" customWidth="1"/>
    <x:col min="6" max="6" width="44" hidden="0" customWidth="1"/>
    <x:col min="7" max="7" width="36" hidden="0" customWidth="1"/>
    <x:col min="8" max="8" width="7.5" hidden="0" customWidth="1"/>
    <x:col min="9" max="9" width="9.5" hidden="0" customWidth="1"/>
  </x:cols>
  <x:sheetData>
    <x:row r="1" ht="30" customHeight="1">
      <x:c r="A1" s="6" t="str">
        <x:v>Risk ID</x:v>
      </x:c>
      <x:c r="B1" s="6" t="str">
        <x:v>Area</x:v>
      </x:c>
      <x:c r="C1" s="6" t="str">
        <x:v>Risk</x:v>
      </x:c>
      <x:c r="D1" s="6" t="str">
        <x:v>Likelihood</x:v>
      </x:c>
      <x:c r="E1" s="6" t="str">
        <x:v>Impact</x:v>
      </x:c>
      <x:c r="F1" s="6" t="str">
        <x:v>Mitigation</x:v>
      </x:c>
      <x:c r="G1" s="6" t="str">
        <x:v>Trigger</x:v>
      </x:c>
      <x:c r="H1" s="6" t="str">
        <x:v>Owner</x:v>
      </x:c>
      <x:c r="I1" s="6" t="str">
        <x:v>Status</x:v>
      </x:c>
    </x:row>
    <x:row r="2" ht="26.399999618530273" hidden="0" customHeight="1">
      <x:c r="A2" s="14" t="str">
        <x:v>R1</x:v>
      </x:c>
      <x:c r="B2" s="14" t="str">
        <x:v>Data access</x:v>
      </x:c>
      <x:c r="C2" s="14" t="str">
        <x:v>A command accidentally downloads a huge dataset slice.</x:v>
      </x:c>
      <x:c r="D2" s="14" t="str">
        <x:v>Medium</x:v>
      </x:c>
      <x:c r="E2" s="14" t="str">
        <x:v>High</x:v>
      </x:c>
      <x:c r="F2" s="14" t="str">
        <x:v>Dry-run default, max files, max total size, explicit `--execute`.</x:v>
      </x:c>
      <x:c r="G2" s="14" t="str">
        <x:v>Download plan exceeds threshold or lacks size estimate.</x:v>
      </x:c>
      <x:c r="H2" s="14" t="str">
        <x:v>Codex</x:v>
      </x:c>
      <x:c r="I2" s="14" t="str">
        <x:v>Open</x:v>
      </x:c>
    </x:row>
    <x:row r="3" ht="26.399999618530273" hidden="0" customHeight="1">
      <x:c r="A3" s="14" t="str">
        <x:v>R2</x:v>
      </x:c>
      <x:c r="B3" s="14" t="str">
        <x:v>Data quality</x:v>
      </x:c>
      <x:c r="C3" s="14" t="str">
        <x:v>Events or labels are silently misaligned with signal windows.</x:v>
      </x:c>
      <x:c r="D3" s="14" t="str">
        <x:v>Medium</x:v>
      </x:c>
      <x:c r="E3" s="14" t="str">
        <x:v>High</x:v>
      </x:c>
      <x:c r="F3" s="14" t="str">
        <x:v>Print parsed fields, dropped rows, timestamps, and confidence; add synthetic alignment tests.</x:v>
      </x:c>
      <x:c r="G3" s="14" t="str">
        <x:v>Unexpected offsets, many dropped events, or suspiciously high scores.</x:v>
      </x:c>
      <x:c r="H3" s="14" t="str">
        <x:v>Codex</x:v>
      </x:c>
      <x:c r="I3" s="14" t="str">
        <x:v>Open</x:v>
      </x:c>
    </x:row>
    <x:row r="4" ht="26.399999618530273" hidden="0" customHeight="1">
      <x:c r="A4" s="14" t="str">
        <x:v>R3</x:v>
      </x:c>
      <x:c r="B4" s="14" t="str">
        <x:v>Evaluation</x:v>
      </x:c>
      <x:c r="C4" s="14" t="str">
        <x:v>Language-only baseline explains most apparent progress.</x:v>
      </x:c>
      <x:c r="D4" s="14" t="str">
        <x:v>High</x:v>
      </x:c>
      <x:c r="E4" s="14" t="str">
        <x:v>Medium</x:v>
      </x:c>
      <x:c r="F4" s="14" t="str">
        <x:v>Run LM/prior-only baseline beside every neural result.</x:v>
      </x:c>
      <x:c r="G4" s="14" t="str">
        <x:v>Brain model barely beats prior-only baseline.</x:v>
      </x:c>
      <x:c r="H4" s="14" t="str">
        <x:v>GPT</x:v>
      </x:c>
      <x:c r="I4" s="14" t="str">
        <x:v>Watching</x:v>
      </x:c>
    </x:row>
    <x:row r="5" ht="26.399999618530273" hidden="0" customHeight="1">
      <x:c r="A5" s="14" t="str">
        <x:v>R4</x:v>
      </x:c>
      <x:c r="B5" s="14" t="str">
        <x:v>Overfitting</x:v>
      </x:c>
      <x:c r="C5" s="14" t="str">
        <x:v>Tiny loop overfits one block and looks better than it is.</x:v>
      </x:c>
      <x:c r="D5" s="14" t="str">
        <x:v>High</x:v>
      </x:c>
      <x:c r="E5" s="14" t="str">
        <x:v>Medium</x:v>
      </x:c>
      <x:c r="F5" s="14" t="str">
        <x:v>Add split protocol early; name split type in every report.</x:v>
      </x:c>
      <x:c r="G5" s="14" t="str">
        <x:v>Random split score much higher than session/subject split.</x:v>
      </x:c>
      <x:c r="H5" s="14" t="str">
        <x:v>Codex</x:v>
      </x:c>
      <x:c r="I5" s="14" t="str">
        <x:v>Open</x:v>
      </x:c>
    </x:row>
    <x:row r="6" ht="26.399999618530273" hidden="0" customHeight="1">
      <x:c r="A6" s="14" t="str">
        <x:v>R5</x:v>
      </x:c>
      <x:c r="B6" s="14" t="str">
        <x:v>Licensing</x:v>
      </x:c>
      <x:c r="C6" s="14" t="str">
        <x:v>Research dataset license is accidentally treated as commercial-ready.</x:v>
      </x:c>
      <x:c r="D6" s="14" t="str">
        <x:v>Low</x:v>
      </x:c>
      <x:c r="E6" s="14" t="str">
        <x:v>High</x:v>
      </x:c>
      <x:c r="F6" s="14" t="str">
        <x:v>Keep license notes in docs and generated metadata; avoid commercial claims.</x:v>
      </x:c>
      <x:c r="G6" s="14" t="str">
        <x:v>Repo/readme implies product or clinical use.</x:v>
      </x:c>
      <x:c r="H6" s="14" t="str">
        <x:v>Cheick</x:v>
      </x:c>
      <x:c r="I6" s="14" t="str">
        <x:v>Open</x:v>
      </x:c>
    </x:row>
    <x:row r="7" ht="26.399999618530273" hidden="0" customHeight="1">
      <x:c r="A7" s="14" t="str">
        <x:v>R6</x:v>
      </x:c>
      <x:c r="B7" s="14" t="str">
        <x:v>Dependencies</x:v>
      </x:c>
      <x:c r="C7" s="14" t="str">
        <x:v>Package becomes heavy and fragile too early.</x:v>
      </x:c>
      <x:c r="D7" s="14" t="str">
        <x:v>Medium</x:v>
      </x:c>
      <x:c r="E7" s="14" t="str">
        <x:v>Medium</x:v>
      </x:c>
      <x:c r="F7" s="14" t="str">
        <x:v>Optional extras for neuro/deep/demo dependencies; graceful import errors.</x:v>
      </x:c>
      <x:c r="G7" s="14" t="str">
        <x:v>Basic CLI import requires MNE/Torch/Gradio.</x:v>
      </x:c>
      <x:c r="H7" s="14" t="str">
        <x:v>Codex</x:v>
      </x:c>
      <x:c r="I7" s="14" t="str">
        <x:v>Open</x:v>
      </x:c>
    </x:row>
    <x:row r="8" ht="26.399999618530273" hidden="0" customHeight="1">
      <x:c r="A8" s="14" t="str">
        <x:v>R7</x:v>
      </x:c>
      <x:c r="B8" s="14" t="str">
        <x:v>Narrative</x:v>
      </x:c>
      <x:c r="C8" s="14" t="str">
        <x:v>Demo implies arbitrary thought reading rather than task-specific decoding.</x:v>
      </x:c>
      <x:c r="D8" s="14" t="str">
        <x:v>Medium</x:v>
      </x:c>
      <x:c r="E8" s="14" t="str">
        <x:v>High</x:v>
      </x:c>
      <x:c r="F8" s="14" t="str">
        <x:v>Add limitations copy and avoid clinical/mind-reading claims.</x:v>
      </x:c>
      <x:c r="G8" s="14" t="str">
        <x:v>External writeup overstates capability.</x:v>
      </x:c>
      <x:c r="H8" s="14" t="str">
        <x:v>Cheick</x:v>
      </x:c>
      <x:c r="I8" s="14" t="str">
        <x:v>Watching</x:v>
      </x:c>
    </x:row>
    <x:row r="9" ht="39.599998474121094" hidden="0" customHeight="1">
      <x:c r="A9" s="14" t="str">
        <x:v>R8</x:v>
      </x:c>
      <x:c r="B9" s="14" t="str">
        <x:v>Roadmap</x:v>
      </x:c>
      <x:c r="C9" s="14" t="str">
        <x:v>Public Brain2Qwerty v2 code is mistaken for a locally reproduced v2 result while EnglishBCBL data and required GPU scale remain unavailable.</x:v>
      </x:c>
      <x:c r="D9" s="14" t="str">
        <x:v>Medium</x:v>
      </x:c>
      <x:c r="E9" s="14" t="str">
        <x:v>High</x:v>
      </x:c>
      <x:c r="F9" s="14" t="str">
        <x:v>Treat SpanishBCBL CTC as a small surrogate; cite the official code commit and data embargo; report compute, data, and latency gaps.</x:v>
      </x:c>
      <x:c r="G9" s="14" t="str">
        <x:v>A local smoke metric is compared to the v2 paper, or implementation silently assumes EnglishBCBL or multi-GPU hardware.</x:v>
      </x:c>
      <x:c r="H9" s="14" t="str">
        <x:v>Codex</x:v>
      </x:c>
      <x:c r="I9" s="14" t="str">
        <x:v>Watching</x:v>
      </x:c>
    </x:row>
    <x:row r="10" ht="39.599998474121094" hidden="0" customHeight="1">
      <x:c r="A10" s="12" t="str">
        <x:v>R9</x:v>
      </x:c>
      <x:c r="B10" s="12" t="str">
        <x:v>Hardware accessibility</x:v>
      </x:c>
      <x:c r="C10" s="12" t="str">
        <x:v>Local CPU success is mistaken for at-home sensor readiness; EEG accuracy loss and OPM shielding requirements are ignored.</x:v>
      </x:c>
      <x:c r="D10" s="12" t="str">
        <x:v>High</x:v>
      </x:c>
      <x:c r="E10" s="12" t="str">
        <x:v>High</x:v>
      </x:c>
      <x:c r="F10" s="12" t="str">
        <x:v>Track compute, sensor modality, shielding, motion, and causal latency as separate gates; cite primary hardware evidence.</x:v>
      </x:c>
      <x:c r="G10" s="12" t="str">
        <x:v>A demo or roadmap calls the current MEG, EEG, or OPM path consumer-ready.</x:v>
      </x:c>
      <x:c r="H10" s="12" t="str">
        <x:v>Cheick</x:v>
      </x:c>
      <x:c r="I10" s="12" t="str">
        <x:v>Watching</x:v>
      </x:c>
    </x:row>
    <x:row r="11" ht="39.599998474121094" hidden="0" customHeight="1">
      <x:c r="A11" s="12" t="str">
        <x:v>R10</x:v>
      </x:c>
      <x:c r="B11" s="12" t="str">
        <x:v>Compression evidence</x:v>
      </x:c>
      <x:c r="C11" s="12" t="str">
        <x:v>Lower sampling or channel counts are presented as retained neural accuracy based on stable scaled RMS or a fit inside one block.</x:v>
      </x:c>
      <x:c r="D11" s="12" t="str">
        <x:v>High</x:v>
      </x:c>
      <x:c r="E11" s="12" t="str">
        <x:v>High</x:v>
      </x:c>
      <x:c r="F11" s="12" t="str">
        <x:v>Require a second block/session split for accuracy; report Nyquist and spatial-information losses; keep resource sweeps score-free.</x:v>
      </x:c>
      <x:c r="G11" s="12" t="str">
        <x:v>A report uses accuracy-retained language without independent evaluation, or selects a rate/channel count from one block.</x:v>
      </x:c>
      <x:c r="H11" s="12" t="str">
        <x:v>Codex</x:v>
      </x:c>
      <x:c r="I11" s="12" t="str">
        <x:v>Watching</x:v>
      </x:c>
    </x:row>
    <x:row r="12" ht="108" hidden="0" customHeight="1">
      <x:c r="A12" s="14" t="str">
        <x:v>R11</x:v>
      </x:c>
      <x:c r="B12" s="14" t="str">
        <x:v>Sensor selection</x:v>
      </x:c>
      <x:c r="C12" s="14" t="str">
        <x:v>A geometry or variance proxy selected on one S21 block is mistaken for a generally optimal layout or an OPM-ready hardware design.</x:v>
      </x:c>
      <x:c r="D12" s="14" t="str">
        <x:v>High</x:v>
      </x:c>
      <x:c r="E12" s="14" t="str">
        <x:v>High</x:v>
      </x:c>
      <x:c r="F12" s="14" t="str">
        <x:v>Pre-register FPS and variance candidates; fit variance only on training data; evaluate held-out block/session/subject accuracy; keep modality, shielding, and geometry caveats explicit.</x:v>
      </x:c>
      <x:c r="G12" s="14" t="str">
        <x:v>A subset is called optimal, accuracy-preserving, anatomical, or OPM-ready without held-out decoding and hardware validation.</x:v>
      </x:c>
      <x:c r="H12" s="14" t="str">
        <x:v>Codex</x:v>
      </x:c>
      <x:c r="I12" s="14" t="str">
        <x:v>Watching</x:v>
      </x:c>
    </x:row>
    <x:row r="13" ht="84" customHeight="1">
      <x:c r="A13" s="14" t="str">
        <x:v>R12</x:v>
      </x:c>
      <x:c r="B13" s="14" t="str">
        <x:v>Precision / storage</x:v>
      </x:c>
      <x:c r="C13" s="14" t="str">
        <x:v>Low reconstruction error is mistaken for retained decoder accuracy or integer-only local inference.</x:v>
      </x:c>
      <x:c r="D13" s="14" t="str">
        <x:v>High</x:v>
      </x:c>
      <x:c r="E13" s="14" t="str">
        <x:v>High</x:v>
      </x:c>
      <x:c r="F13" s="14" t="str">
        <x:v>Keep float32 as default; evaluate packed candidates on one fixed held-out split; report clipping separately; state that current payloads decode to float32.</x:v>
      </x:c>
      <x:c r="G13" s="14" t="str">
        <x:v>A report calls a packed cache accuracy-preserving, lower-RAM inference, real-time, or device-ready without a held-out decoder and model-runtime measurement.</x:v>
      </x:c>
      <x:c r="H13" s="14" t="str">
        <x:v>Codex</x:v>
      </x:c>
      <x:c r="I13" s="14" t="str">
        <x:v>Watching</x:v>
      </x:c>
    </x:row>
    <x:row r="14" ht="78" customHeight="1">
      <x:c r="A14" s="12" t="str">
        <x:v>R13</x:v>
      </x:c>
      <x:c r="B14" s="12" t="str">
        <x:v>Backend scaling</x:v>
      </x:c>
      <x:c r="C14" s="12" t="str">
        <x:v>The parked Zarr decision is misread as a universal format verdict and future NPZ limits go unmonitored.</x:v>
      </x:c>
      <x:c r="D14" s="12" t="str">
        <x:v>Medium</x:v>
      </x:c>
      <x:c r="E14" s="12" t="str">
        <x:v>Medium</x:v>
      </x:c>
      <x:c r="F14" s="12" t="str">
        <x:v>Preserve the Loop 13 thresholds; rerun on larger caches or repeated subarray workflows; require semantic parity before any backend adoption.</x:v>
      </x:c>
      <x:c r="G14" s="12" t="str">
        <x:v>A cache crosses a size/time/RSS threshold, or training repeatedly reads subarrays while the old park decision is cited as final.</x:v>
      </x:c>
      <x:c r="H14" s="12" t="str">
        <x:v>Codex</x:v>
      </x:c>
      <x:c r="I14" s="12" t="str">
        <x:v>Watching</x:v>
      </x:c>
    </x:row>
    <x:row r="15" ht="96" customHeight="1">
      <x:c r="A15" s="12" t="str">
        <x:v>R14</x:v>
      </x:c>
      <x:c r="B15" s="12" t="str">
        <x:v>Evaluation leakage</x:v>
      </x:c>
      <x:c r="C15" s="12" t="str">
        <x:v>A valid sentence-membership table is mistaken for a strict evaluation even though scaling or sensor selection used validation/test rows.</x:v>
      </x:c>
      <x:c r="D15" s="12" t="str">
        <x:v>Medium</x:v>
      </x:c>
      <x:c r="E15" s="12" t="str">
        <x:v>High</x:v>
      </x:c>
      <x:c r="F15" s="12" t="str">
        <x:v>Require fit_split=train plus matching protocol and semantic-membership hashes; freeze transforms for validation/test; block unsupported session/subject claims.</x:v>
      </x:c>
      <x:c r="G15" s="12" t="str">
        <x:v>A report cites strict membership while cache metadata lacks matching train-fit provenance, or aliases are counted as independent people.</x:v>
      </x:c>
      <x:c r="H15" s="12" t="str">
        <x:v>Codex</x:v>
      </x:c>
      <x:c r="I15" s="12" t="str">
        <x:v>Mitigated</x:v>
      </x:c>
    </x:row>
    <x:row r="16" ht="112" customHeight="1">
      <x:c r="A16" s="12" t="str">
        <x:v>R15</x:v>
      </x:c>
      <x:c r="B16" s="12" t="str">
        <x:v>Holdout reuse</x:v>
      </x:c>
      <x:c r="C16" s="12" t="str">
        <x:v>Architecture, adapters, sensors, or precision are tuned against the five source test rows or observed 63-row session-2 evaluation until a known difference looks meaningful.</x:v>
      </x:c>
      <x:c r="D16" s="12" t="str">
        <x:v>High</x:v>
      </x:c>
      <x:c r="E16" s="12" t="str">
        <x:v>High</x:v>
      </x:c>
      <x:c r="F16" s="12" t="str">
        <x:v>Freeze both observed holdouts; fit on source train only; select on source validation only; develop adapters on synthetic shift; pre-register the next real comparison and disclose all attempts.</x:v>
      </x:c>
      <x:c r="G16" s="12" t="str">
        <x:v>A new choice is justified by source-test or session-2 results, repeated holdout runs accumulate, or observed session 2 is described as untouched after tuning.</x:v>
      </x:c>
      <x:c r="H16" s="12" t="str">
        <x:v>Codex</x:v>
      </x:c>
      <x:c r="I16" s="12" t="str">
        <x:v>Active</x:v>
      </x:c>
    </x:row>
    <x:row r="17" ht="78" customHeight="1">
      <x:c r="A17" s="14" t="str">
        <x:v>R16</x:v>
      </x:c>
      <x:c r="B17" s="14" t="str">
        <x:v>Synthetic validity</x:v>
      </x:c>
      <x:c r="C17" s="14" t="str">
        <x:v>A diagonal synthetic shift may make robust affine adaptation look unrealistically complete.</x:v>
      </x:c>
      <x:c r="D17" s="14" t="str">
        <x:v>High</x:v>
      </x:c>
      <x:c r="E17" s="14" t="str">
        <x:v>High</x:v>
      </x:c>
      <x:c r="F17" s="14" t="str">
        <x:v>Run multiple seeds, at least five calibration sizes, unpaired calibration, and non-diagonal or time-varying shifts before any real-data adapter claim.</x:v>
      </x:c>
      <x:c r="G17" s="14" t="str">
        <x:v>Near-perfect synthetic reconstruction without an untouched real-session benefit result.</x:v>
      </x:c>
      <x:c r="H17" s="14" t="str">
        <x:v>Codex</x:v>
      </x:c>
      <x:c r="I17" s="14" t="str">
        <x:v>Active</x:v>
      </x:c>
    </x:row>
    <x:row r="18" ht="88" customHeight="1">
      <x:c r="A18" s="14" t="str">
        <x:v>R17</x:v>
      </x:c>
      <x:c r="B18" s="14" t="str">
        <x:v>Adapter scope</x:v>
      </x:c>
      <x:c r="C18" s="14" t="str">
        <x:v>Automatic static robust-affine adaptation is applied when target drift includes channel mixing or changes within a sentence, worsening decoding relative to identity.</x:v>
      </x:c>
      <x:c r="D18" s="14" t="str">
        <x:v>High</x:v>
      </x:c>
      <x:c r="E18" s="14" t="str">
        <x:v>High</x:v>
      </x:c>
      <x:c r="F18" s="14" t="str">
        <x:v>Keep identity as the default fallback; identify the shift family on synthetic validation; gate covariance-aware and causal rolling methods separately before any real evaluation.</x:v>
      </x:c>
      <x:c r="G18" s="14" t="str">
        <x:v>Adapted validation CER exceeds identity, covariance changes remain after scaling, or rolling-window statistics move materially within one sequence.</x:v>
      </x:c>
      <x:c r="H18" s="14" t="str">
        <x:v>Codex</x:v>
      </x:c>
      <x:c r="I18" s="14" t="str">
        <x:v>Active</x:v>
      </x:c>
    </x:row>
    <x:row r="19" ht="91.5" customHeight="1">
      <x:c r="A19" s="12" t="str">
        <x:v>R18</x:v>
      </x:c>
      <x:c r="B19" s="12" t="str">
        <x:v>Demo interpretation</x:v>
      </x:c>
      <x:c r="C19" s="12" t="str">
        <x:v>Perfect synthetic examples or aggregate real metrics are mistaken for a live real-MEG decoder, calibrated confidence, arbitrary-thought reading, or at-home hardware evidence.</x:v>
      </x:c>
      <x:c r="D19" s="12" t="str">
        <x:v>High</x:v>
      </x:c>
      <x:c r="E19" s="12" t="str">
        <x:v>High</x:v>
      </x:c>
      <x:c r="F19" s="12" t="str">
        <x:v>Keep the proof strip visible; label examples synthetic and real rows aggregate-only; show confidence as unavailable; expose noncausal/task/hardware boundaries; publish provenance and audit checks.</x:v>
      </x:c>
      <x:c r="G19" s="12" t="str">
        <x:v>A screenshot, writeup, or downstream report omits synthetic, aggregate-only, noncausal, confidence-unavailable, or typing-task-specific labels.</x:v>
      </x:c>
      <x:c r="H19" s="12" t="str">
        <x:v>Codex</x:v>
      </x:c>
      <x:c r="I19" s="12" t="str">
        <x:v>Active</x:v>
      </x:c>
    </x:row>
    <x:row r="20" ht="91.5" customHeight="1">
      <x:c r="A20" s="12" t="str">
        <x:v>R19</x:v>
      </x:c>
      <x:c r="B20" s="12" t="str">
        <x:v>Leaderboard comparability</x:v>
      </x:c>
      <x:c r="C20" s="12" t="str">
        <x:v>A rank across different tasks, units, splits, subjects, proof postures, or metrics is presented as a global model winner.</x:v>
      </x:c>
      <x:c r="D20" s="12" t="str">
        <x:v>High</x:v>
      </x:c>
      <x:c r="E20" s="12" t="str">
        <x:v>High</x:v>
      </x:c>
      <x:c r="F20" s="12" t="str">
        <x:v>Authorize ranks only inside exact cohorts; expose CER, WER, and SemER separately; keep synthetic, real, event, sentence, fit-on-eval, and consumed-holdout evidence distinct; set global winner to null.</x:v>
      </x:c>
      <x:c r="G20" s="12" t="str">
        <x:v>A downstream table drops cohort/proof labels, merges event and sentence rows, hides fit-on-eval status, or selects one metric without disclosing disagreement.</x:v>
      </x:c>
      <x:c r="H20" s="12" t="str">
        <x:v>Codex</x:v>
      </x:c>
      <x:c r="I20" s="12" t="str">
        <x:v>Active</x:v>
      </x:c>
    </x:row>
    <x:row r="21" ht="99" customHeight="1">
      <x:c r="A21" s="12" t="str">
        <x:v>R20</x:v>
      </x:c>
      <x:c r="B21" s="12" t="str">
        <x:v>EEG interpretation</x:v>
      </x:c>
      <x:c r="C21" s="12" t="str">
        <x:v>A trigger-aligned cache or one minimally processed within-session S7 event result is presented as useful brain-to-text, EEG-MEG equivalence, portable sensing, or consumer hardware evidence.</x:v>
      </x:c>
      <x:c r="D21" s="12" t="str">
        <x:v>High</x:v>
      </x:c>
      <x:c r="E21" s="12" t="str">
        <x:v>High</x:v>
      </x:c>
      <x:c r="F21" s="12" t="str">
        <x:v>Keep EEG and MEG in separate cohorts; report exact key-label accuracy beside the train-only prior; label CER non-primary for key tokens; require explicit preprocessing plus independent session/subject protocols before any EEG performance or portability claim.</x:v>
      </x:c>
      <x:c r="G21" s="12" t="str">
        <x:v>A report cites alignment/cache completion as decoding performance, hides the 0.009091 versus 0.122727 negative result, compares EEG and MEG globally, or mentions at-home/consumer readiness.</x:v>
      </x:c>
      <x:c r="H21" s="12" t="str">
        <x:v>Codex</x:v>
      </x:c>
      <x:c r="I21" s="12" t="str">
        <x:v>Active</x:v>
      </x:c>
    </x:row>
    <x:row r="22" ht="106.5" customHeight="1">
      <x:c r="A22" s="12" t="str">
        <x:v>R21</x:v>
      </x:c>
      <x:c r="B22" s="12" t="str">
        <x:v>Neurotoken and streaming interpretation</x:v>
      </x:c>
      <x:c r="C22" s="12" t="str">
        <x:v>Synthetic random-projection vectors or producer frame timing are presented as learned brain words, useful neural semantics, a causal decoder, or measured real-time brain-to-text.</x:v>
      </x:c>
      <x:c r="D22" s="12" t="str">
        <x:v>High</x:v>
      </x:c>
      <x:c r="E22" s="12" t="str">
        <x:v>High</x:v>
      </x:c>
      <x:c r="F22" s="12" t="str">
        <x:v>Label vectors continuous, synthetic, target-free, and unlearned; keep producer causality, decoder causality, right context, and end-to-end latency separate; require synthetic chunk/replay proof before a causal decoder and a preregistered real cohort before performance claims.</x:v>
      </x:c>
      <x:c r="G22" s="12" t="str">
        <x:v>A report calls Loop 20 vectors discrete or learned neurotokens, cites the 160-ms frame width as end-to-end latency, or omits that decoder causality and decoding value are untested.</x:v>
      </x:c>
      <x:c r="H22" s="12" t="str">
        <x:v>Codex</x:v>
      </x:c>
      <x:c r="I22" s="12" t="str">
        <x:v>Active</x:v>
      </x:c>
    </x:row>
    <x:row r="23" ht="106.5" customHeight="1">
      <x:c r="A23" s="12" t="str">
        <x:v>R22</x:v>
      </x:c>
      <x:c r="B23" s="12" t="str">
        <x:v>Causal and latency claim collapse</x:v>
      </x:c>
      <x:c r="C23" s="12" t="str">
        <x:v>A zero-lookahead frame producer or low compute RTF is presented as stable incremental text, real-time end-to-end decoding, or responsive local hardware.</x:v>
      </x:c>
      <x:c r="D23" s="12" t="str">
        <x:v>High</x:v>
      </x:c>
      <x:c r="E23" s="12" t="str">
        <x:v>High</x:v>
      </x:c>
      <x:c r="F23" s="12" t="str">
        <x:v>Report frame availability, right context, scheduler delay, compute time/RTF, decoder emission/revisions, capture/preprocessing, and UI latency separately; do not use a producer benchmark as a text or device claim.</x:v>
      </x:c>
      <x:c r="G23" s="12" t="str">
        <x:v>A report cites the 160-ms first frame or sub-0.001 compute RTF as text latency while decoder causality, symbol stability, endpointing, or capture-to-render timing remains unavailable.</x:v>
      </x:c>
      <x:c r="H23" s="12" t="str">
        <x:v>Codex</x:v>
      </x:c>
      <x:c r="I23" s="12" t="str">
        <x:v>Active</x:v>
      </x:c>
    </x:row>
    <x:row r="24" ht="131.25" customHeight="1">
      <x:c r="A24" s="12" t="str">
        <x:v>R23</x:v>
      </x:c>
      <x:c r="B24" s="12" t="str">
        <x:v>Consumed test reuse</x:v>
      </x:c>
      <x:c r="C24" s="12" t="str">
        <x:v>A consumed synthetic or real evaluation is reused to select precision candidates, tune decoding, or make a fresh-evidence claim.</x:v>
      </x:c>
      <x:c r="D24" s="12" t="str">
        <x:v>High</x:v>
      </x:c>
      <x:c r="E24" s="12" t="str">
        <x:v>High</x:v>
      </x:c>
      <x:c r="F24" s="12" t="str">
        <x:v>Freeze seeds 2203, 2303, and 2353 plus S21 session 2 and S7 EEG; require fresh split and one-time access protocols.</x:v>
      </x:c>
      <x:c r="G24" s="12" t="str">
        <x:v>A new report reads a consumed partition or cites its output as candidate-selection evidence.</x:v>
      </x:c>
      <x:c r="H24" s="12" t="str">
        <x:v>Codex</x:v>
      </x:c>
      <x:c r="I24" s="12" t="str">
        <x:v>Active</x:v>
      </x:c>
    </x:row>
    <x:row r="25" ht="131.25" customHeight="1">
      <x:c r="A25" s="12" t="str">
        <x:v>R24</x:v>
      </x:c>
      <x:c r="B25" s="12" t="str">
        <x:v>Sensitive multimodal misattribution</x:v>
      </x:c>
      <x:c r="C25" s="12" t="str">
        <x:v>Eye, hand, microphone, heart, motion, EOG, or wrist-EMG input is exposed, uploaded, or credited to EEG without consent and ablation evidence.</x:v>
      </x:c>
      <x:c r="D25" s="12" t="str">
        <x:v>High</x:v>
      </x:c>
      <x:c r="E25" s="12" t="str">
        <x:v>High</x:v>
      </x:c>
      <x:c r="F25" s="12" t="str">
        <x:v>Local-only intake, explicit modality labels, no silent cloud path, and mandatory brain-only, peripheral-only, and combined ablations.</x:v>
      </x:c>
      <x:c r="G25" s="12" t="str">
        <x:v>A device or report calls behavioral/peripheral data brain activity or lacks a device-only comparator.</x:v>
      </x:c>
      <x:c r="H25" s="12" t="str">
        <x:v>Codex</x:v>
      </x:c>
      <x:c r="I25" s="12" t="str">
        <x:v>Active</x:v>
      </x:c>
    </x:row>
    <x:row r="26" ht="88.5" customHeight="1">
      <x:c r="A26" s="12" t="str">
        <x:v>R25</x:v>
      </x:c>
      <x:c r="B26" s="12" t="str">
        <x:v>Reader bounds</x:v>
      </x:c>
      <x:c r="C26" s="12" t="str">
        <x:v>A lazy reader silently preloads a source or mixed-rate EDF/BDF resampling changes bounded values.</x:v>
      </x:c>
      <x:c r="D26" s="12" t="str">
        <x:v>High</x:v>
      </x:c>
      <x:c r="E26" s="12" t="str">
        <x:v>High</x:v>
      </x:c>
      <x:c r="F26" s="12" t="str">
        <x:v>Use explicit format readers and arguments; refuse embedded EEGLAB and unproven mixed-rate level 2; assert preload and exact fixture values.</x:v>
      </x:c>
      <x:c r="G26" s="12" t="str">
        <x:v>Unexpected preload, memory growth, implicit rate conversion, or value mismatch.</x:v>
      </x:c>
      <x:c r="H26" s="12" t="str">
        <x:v>Codex</x:v>
      </x:c>
      <x:c r="I26" s="12" t="str">
        <x:v>Active</x:v>
      </x:c>
    </x:row>
    <x:row r="27" ht="88.5" customHeight="1">
      <x:c r="A27" s="12" t="str">
        <x:v>R26</x:v>
      </x:c>
      <x:c r="B27" s="12" t="str">
        <x:v>Quality semantics</x:v>
      </x:c>
      <x:c r="C27" s="12" t="str">
        <x:v>A descriptive warning becomes automatic cleaning or is presented as proof that a real artifact was detected.</x:v>
      </x:c>
      <x:c r="D27" s="12" t="str">
        <x:v>High</x:v>
      </x:c>
      <x:c r="E27" s="12" t="str">
        <x:v>High</x:v>
      </x:c>
      <x:c r="F27" s="12" t="str">
        <x:v>Keep profile-dependent thresholds unavailable; prove source no-mutation; never delete, interpolate, filter, rereference, or mark bads.</x:v>
      </x:c>
      <x:c r="G27" s="12" t="str">
        <x:v>A warning changes source state or is described as a validated real-data diagnosis.</x:v>
      </x:c>
      <x:c r="H27" s="12" t="str">
        <x:v>Codex</x:v>
      </x:c>
      <x:c r="I27" s="12" t="str">
        <x:v>Active</x:v>
      </x:c>
    </x:row>
    <x:row r="28" ht="88.5" customHeight="1">
      <x:c r="A28" s="12" t="str">
        <x:v>R27</x:v>
      </x:c>
      <x:c r="B28" s="12" t="str">
        <x:v>Signal privacy</x:v>
      </x:c>
      <x:c r="C28" s="12" t="str">
        <x:v>Reports leak absolute paths, participant data, dates, serials, event text/timestamps, exact geometry, or waveform values.</x:v>
      </x:c>
      <x:c r="D28" s="12" t="str">
        <x:v>High</x:v>
      </x:c>
      <x:c r="E28" s="12" t="str">
        <x:v>High</x:v>
      </x:c>
      <x:c r="F28" s="12" t="str">
        <x:v>Allowlist aggregate fields; redact before serialization; run forbidden-token and waveform/value leakage tests; kill the gate on exposure.</x:v>
      </x:c>
      <x:c r="G28" s="12" t="str">
        <x:v>Any forbidden identifier, coordinate, annotation, timestamp, or signal value appears in an artifact.</x:v>
      </x:c>
      <x:c r="H28" s="12" t="str">
        <x:v>Codex</x:v>
      </x:c>
      <x:c r="I28" s="12" t="str">
        <x:v>Active</x:v>
      </x:c>
    </x:row>
    <x:row r="29" ht="52.79999923706055" hidden="0" customHeight="1">
      <x:c r="A29" s="14" t="str">
        <x:v>R28</x:v>
      </x:c>
      <x:c r="B29" s="14" t="str">
        <x:v>Precision / runtime overclaim</x:v>
      </x:c>
      <x:c r="C29" s="14" t="str">
        <x:v>A smaller serialized candidate is promoted despite slower full-pipeline runtime, changed behavior, an incomplete timing protocol, or a consumed selection split.</x:v>
      </x:c>
      <x:c r="D29" s="14" t="str">
        <x:v>High</x:v>
      </x:c>
      <x:c r="E29" s="14" t="str">
        <x:v>High</x:v>
      </x:c>
      <x:c r="F29" s="14" t="str">
        <x:v>Keep the exact behavior, numerical, runtime, state, payload, RSS, and total-runtime gates conjunctive; retain float32 on any failure; require a fresh preregistration before new execution.</x:v>
      </x:c>
      <x:c r="G29" s="14" t="str">
        <x:v>A report calls float16 or qint8 a replacement, cites payload size as speed, reruns seed 2401, opens seed 2402 without a new authorization, or hides the 65.154951-second cap failure.</x:v>
      </x:c>
      <x:c r="H29" s="14" t="str">
        <x:v>Codex</x:v>
      </x:c>
      <x:c r="I29" s="14" t="str">
        <x:v>Watching</x:v>
      </x:c>
    </x:row>
    <x:row r="30" ht="117" customHeight="1">
      <x:c r="A30" s="12" t="str">
        <x:v>R29</x:v>
      </x:c>
      <x:c r="B30" s="12" t="str">
        <x:v>Causal preprocessing</x:v>
      </x:c>
      <x:c r="C30" s="12" t="str">
        <x:v>Offline zero-phase filtering, future-dependent normalization, endpoint padding, or chunk resets are mislabeled as causal streaming behavior.</x:v>
      </x:c>
      <x:c r="D30" s="12" t="str">
        <x:v>High</x:v>
      </x:c>
      <x:c r="E30" s="12" t="str">
        <x:v>High</x:v>
      </x:c>
      <x:c r="F30" s="12" t="str">
        <x:v>Require one-pass stateful SOS filtering, phase-locked absolute-index decimation, frozen statistics, and exact schedule/resume/future-mutation checks before any causal claim.</x:v>
      </x:c>
      <x:c r="G30" s="12" t="str">
        <x:v>An earlier output or state changes when only future samples or chunk boundaries change, or a report hides filter delay as text latency.</x:v>
      </x:c>
      <x:c r="H30" s="12" t="str">
        <x:v>Codex</x:v>
      </x:c>
      <x:c r="I30" s="12" t="str">
        <x:v>Active</x:v>
      </x:c>
    </x:row>
    <x:row r="31" ht="126" customHeight="1">
      <x:c r="A31" s="12" t="str">
        <x:v>R30</x:v>
      </x:c>
      <x:c r="B31" s="12" t="str">
        <x:v>Anti-alias completeness</x:v>
      </x:c>
      <x:c r="C31" s="12" t="str">
        <x:v>A task low-pass edge or one above-Nyquist probe is mistaken for complete anti-alias protection before 10x decimation, allowing 50-500 Hz source energy to fold into the retained band.</x:v>
      </x:c>
      <x:c r="D31" s="12" t="str">
        <x:v>High</x:v>
      </x:c>
      <x:c r="E31" s="12" t="str">
        <x:v>High</x:v>
      </x:c>
      <x:c r="F31" s="12" t="str">
        <x:v>Require a separate causal anti-alias SOS, a 65,537-point 0-500 Hz response grid, 23 alias probes, and complete-chain 50-500 Hz attenuation before any fixture array opens.</x:v>
      </x:c>
      <x:c r="G31" s="12" t="str">
        <x:v>The dedicated or complete chain exceeds -59.5 dB anywhere in 50-500 Hz, an alias destination is wrong, or a superseded packet is selected.</x:v>
      </x:c>
      <x:c r="H31" s="12" t="str">
        <x:v>Codex</x:v>
      </x:c>
      <x:c r="I31" s="12" t="str">
        <x:v>Active</x:v>
      </x:c>
    </x:row>
    <x:row r="32" ht="138" customHeight="1">
      <x:c r="A32" s="12" t="str">
        <x:v>R31</x:v>
      </x:c>
      <x:c r="B32" s="12" t="str">
        <x:v>Six-row validation overclaim</x:v>
      </x:c>
      <x:c r="C32" s="12" t="str">
        <x:v>A favorable result on six sentences from one person/session is reported as source-test, participant, population, transfer, real-time, or device evidence, or smooth bootstrap output hides the 64-assignment exact resolution.</x:v>
      </x:c>
      <x:c r="D32" s="12" t="str">
        <x:v>High</x:v>
      </x:c>
      <x:c r="E32" s="12" t="str">
        <x:v>High</x:v>
      </x:c>
      <x:c r="F32" s="12" t="str">
        <x:v>Report all six paired differences and the complete exact null; require all frozen controls; label the unit as sentence instances within one person/session; keep source test and session 2 closed.</x:v>
      </x:c>
      <x:c r="G32" s="12" t="str">
        <x:v>Any claim exceeds the six named validation rows, any validation item is omitted, a zero/tie is hidden, or protected test/session-2 evidence is opened.</x:v>
      </x:c>
      <x:c r="H32" s="12" t="str">
        <x:v>Codex</x:v>
      </x:c>
      <x:c r="I32" s="12" t="str">
        <x:v>Active</x:v>
      </x:c>
    </x:row>
    <x:row r="33" ht="145.5" customHeight="1">
      <x:c r="A33" s="12" t="str">
        <x:v>R32</x:v>
      </x:c>
      <x:c r="B33" s="12" t="str">
        <x:v>Metadata candidate becomes accidental authorization</x:v>
      </x:c>
      <x:c r="C33" s="12" t="str">
        <x:v>A local S25 MAT filename, official payload hash, or 1 GiB cap is treated as permission to hash/open targets, download the FIF, inspect signal, run a model, or silently substitute S18/S24/S22 after failure.</x:v>
      </x:c>
      <x:c r="D33" s="12" t="str">
        <x:v>High</x:v>
      </x:c>
      <x:c r="E33" s="12" t="str">
        <x:v>High</x:v>
      </x:c>
      <x:c r="F33" s="12" t="str">
        <x:v>Bind 18 false permissions; require source-model/control/target-isolation/final-rule hashes before preregistration; stage acquisition/header/signal/target/final access separately; prohibit automatic backup substitution.</x:v>
      </x:c>
      <x:c r="G33" s="12" t="str">
        <x:v>Any S25 content read or download before an exact green authorization-only commit, any candidate-side fitting, or any backup open after protected access.</x:v>
      </x:c>
      <x:c r="H33" s="12" t="str">
        <x:v>Codex</x:v>
      </x:c>
      <x:c r="I33" s="12" t="str">
        <x:v>Active</x:v>
      </x:c>
    </x:row>
    <x:row r="34" ht="66" hidden="0" customHeight="1">
      <x:c r="A34" s="12" t="str">
        <x:v>R33</x:v>
      </x:c>
      <x:c r="B34" s="12" t="str">
        <x:v>Transfer evidence</x:v>
      </x:c>
      <x:c r="C34" s="12" t="str">
        <x:v>Calibrated or transductive behavior is relabeled as strict zero-shot, or one S25 result is presented as population generalization.</x:v>
      </x:c>
      <x:c r="D34" s="12" t="str">
        <x:v>High</x:v>
      </x:c>
      <x:c r="E34" s="12" t="str">
        <x:v>High</x:v>
      </x:c>
      <x:c r="F34" s="12" t="str">
        <x:v>Bind T0-T3 labels, forbid every S25 fit row for T2, keep calibrated transfer physically separate, disclose sentence overlap, require all controls, and cap the claim at one person/session/task.</x:v>
      </x:c>
      <x:c r="G34" s="12" t="str">
        <x:v>Any target-person statistic, label, adapter, threshold, or update influences T2 before final scoring; calibrated output is called zero-shot; or a single-person result is generalized to a population.</x:v>
      </x:c>
      <x:c r="H34" s="12" t="str">
        <x:v>Codex</x:v>
      </x:c>
      <x:c r="I34" s="12" t="str">
        <x:v>Active</x:v>
      </x:c>
    </x:row>
    <x:row r="35" ht="108" customHeight="1">
      <x:c r="A35" s="39" t="str">
        <x:v>R34</x:v>
      </x:c>
      <x:c r="B35" s="39" t="str">
        <x:v>Portability and storage overclaim</x:v>
      </x:c>
      <x:c r="C35" s="39" t="str">
        <x:v>A 5-10 GB capacity allowance, cryogenic channel ablation, vendor specification, or at-home acquisition study is treated as download permission or proof of OPM-MEG/EEG text decoding.</x:v>
      </x:c>
      <x:c r="D35" s="39" t="str">
        <x:v>High</x:v>
      </x:c>
      <x:c r="E35" s="39" t="str">
        <x:v>High</x:v>
      </x:c>
      <x:c r="F35" s="39" t="str">
        <x:v>Keep four modality profiles and six qualification levels separate; bind 24 false permissions; stage S20, S25, device, SDK, stream, and hardware decisions independently; spend storage only on a frozen measured question.</x:v>
      </x:c>
      <x:c r="G35" s="39" t="str">
        <x:v>Any unapproved payload opens, a device is selected from specifications alone, a cryogenic subset is called OPM/EEG evidence, or home recording is called home decoding.</x:v>
      </x:c>
      <x:c r="H35" s="39" t="str">
        <x:v>Codex</x:v>
      </x:c>
      <x:c r="I35" s="39" t="str">
        <x:v>Active</x:v>
      </x:c>
    </x:row>
    <x:row r="36" ht="104" customHeight="1">
      <x:c r="A36" t="str">
        <x:v>R35</x:v>
      </x:c>
      <x:c r="B36" t="str">
        <x:v>Replay and latency overclaim</x:v>
      </x:c>
      <x:c r="C36" t="str">
        <x:v>A target-free replay, stable partial, localhost label, or within-process timing is presented as live neural decoding, calibrated confidence, correctness, privacy proof, or capture-to-user latency.</x:v>
      </x:c>
      <x:c r="D36" t="str">
        <x:v>High</x:v>
      </x:c>
      <x:c r="E36" t="str">
        <x:v>High</x:v>
      </x:c>
      <x:c r="F36" t="str">
        <x:v>Bind four source modes, nine clock origins, six claim levels, explicit finalization, confidence unavailable, fixed loopback/file/network settings, accessible status, 18 gates, 30 refusals, and browser traffic/long-task QA before implementation.</x:v>
      </x:c>
      <x:c r="G36" t="str">
        <x:v>A replay is called live; stability is called confidence/correctness; clocks are subtracted without mapping; external traffic/file exposure occurs; or the UI hides proof, causality, warning, or unavailable labels.</x:v>
      </x:c>
      <x:c r="H36" t="str">
        <x:v>Codex</x:v>
      </x:c>
      <x:c r="I36" t="str">
        <x:v>Active</x:v>
      </x:c>
    </x:row>
    <x:row r="37" ht="116" customHeight="1">
      <x:c r="A37" t="str">
        <x:v>R36</x:v>
      </x:c>
      <x:c r="B37" t="str">
        <x:v>Scientific attribution</x:v>
      </x:c>
      <x:c r="C37" t="str">
        <x:v>Language regularity, timing, prompt/sentence context, broken signal-target correspondence, peripheral artifacts, or a missing control is credited to brain-specific neural information.</x:v>
      </x:c>
      <x:c r="D37" t="str">
        <x:v>High</x:v>
      </x:c>
      <x:c r="E37" t="str">
        <x:v>High</x:v>
      </x:c>
      <x:c r="F37" t="str">
        <x:v>Require the 10-condition encoder matrix, contingent 5-condition LLM matrix, target-blind prediction freeze, exact intersection-union gate, per-condition ledgers/hashes, and a Loop 35 ceiling before brain-specific wording.</x:v>
      </x:c>
      <x:c r="G37" t="str">
        <x:v>A no-signal, timing, context, or corrupted-signal control matches full signal; language gain is called neural gain; a Neuro Token drop is called total neural contribution; or sensor dependence is called brain-specific before Loop 35.</x:v>
      </x:c>
      <x:c r="H37" t="str">
        <x:v>Codex</x:v>
      </x:c>
      <x:c r="I37" t="str">
        <x:v>Active</x:v>
      </x:c>
    </x:row>
    <x:row r="38" ht="124" customHeight="1">
      <x:c r="A38" t="str">
        <x:v>R37</x:v>
      </x:c>
      <x:c r="B38" t="str">
        <x:v>Calibration leakage and burden</x:v>
      </x:c>
      <x:c r="C38" t="str">
        <x:v>Target signal or labels leak across fit, selection, and final evidence; selection supervision is hidden; calibrated performance is called zero-shot; or a tiny adapter is presented as a tiny human burden.</x:v>
      </x:c>
      <x:c r="D38" t="str">
        <x:v>High</x:v>
      </x:c>
      <x:c r="E38" t="str">
        <x:v>High</x:v>
      </x:c>
      <x:c r="F38" t="str">
        <x:v>Require physical 32/16/48 partitions, disjoint row/text hashes, zero-shot predictions frozen before calibration, one mode and budget, final targets opened once, label-inclusive burden, six controls, 20 gates, 26 refusals, and exact access/hash ledgers.</x:v>
      </x:c>
      <x:c r="G38" t="str">
        <x:v>Final rows influence statistics or selection; unlabeled mode uses target labels; selection labels are omitted; S25 is repurposed; multiple modes are run and only the best is promoted; or one calibrated person is generalized.</x:v>
      </x:c>
      <x:c r="H38" t="str">
        <x:v>Codex</x:v>
      </x:c>
      <x:c r="I38" t="str">
        <x:v>Active</x:v>
      </x:c>
    </x:row>
    <x:row r="39">
      <x:c r="A39" t="str">
        <x:v>R38</x:v>
      </x:c>
      <x:c r="B39" t="str">
        <x:v>Scaling and acquisition overclaim</x:v>
      </x:c>
      <x:c r="C39" t="str">
        <x:v>A tiny after-the-fact curve, optimizer seeds, duplicated arrays, minutes of signal, or another study's exponent is presented as a prospective scaling law, biological replication, physical repetition, recording hours, or guaranteed acquisition value.</x:v>
      </x:c>
      <x:c r="D39" t="str">
        <x:v>High</x:v>
      </x:c>
      <x:c r="E39" t="str">
        <x:v>High</x:v>
      </x:c>
      <x:c r="F39" t="str">
        <x:v>Freeze Loop 33 before the shared target open; bind six nested prefixes, matched priors, fixed model/data contracts, one target open, 20 gates, and 30 refusals. Report only 8-55 unique sentences, distinguish physical recordings from array reuse, and require a separate acquisition packet.</x:v>
      </x:c>
      <x:c r="G39" t="str">
        <x:v>Validation targets open before Loop 33 freezes; prefixes or seeds change after scoring; duplicate rows are called recordings; CPU time is called energy; a 90-hour exponent or population conclusion is transferred; or data is acquired without a separate exact packet.</x:v>
      </x:c>
      <x:c r="H39" t="str">
        <x:v>Codex</x:v>
      </x:c>
      <x:c r="I39" t="str">
        <x:v>Active</x:v>
      </x:c>
    </x:row>
    <x:row r="40">
      <x:c r="A40" t="str">
        <x:v>R39</x:v>
      </x:c>
      <x:c r="B40" t="str">
        <x:v>Confidence, abstention, and revision overclaim</x:v>
      </x:c>
      <x:c r="C40" t="str">
        <x:v>A raw score, entropy, margin, or stable prefix is called a correctness probability; six reused real rows are presented as independent qualification; abstain-all hides error; ECE or AURC stands alone; or a synthetic policy is promoted as real confidence.</x:v>
      </x:c>
      <x:c r="D40" t="str">
        <x:v>High</x:v>
      </x:c>
      <x:c r="E40" t="str">
        <x:v>High</x:v>
      </x:c>
      <x:c r="F40" t="str">
        <x:v>Require fresh disjoint calibration/selection/final groups, seven semantic levels, eight score/control roles, bounded exact-sequence loss, registered useful coverage, full working-point and generalized-risk reporting, frozen mappings and policies before one final open, Loop 30 clock domains, 20 gates, and 30 refusals.</x:v>
      </x:c>
      <x:c r="G40" t="str">
        <x:v>Calibration, selection, or final groups overlap; a final target changes a threshold or bin; stability is called correctness; raw CER is silently clipped; dependence is omitted; below-floor coverage passes; revision delay is hidden; or synthetic evidence is transferred to real/product confidence.</x:v>
      </x:c>
      <x:c r="H40" t="str">
        <x:v>Codex</x:v>
      </x:c>
      <x:c r="I40" t="str">
        <x:v>Active</x:v>
      </x:c>
    </x:row>
  </x:sheetData>
  <x:dataValidations count="8">
    <x:dataValidation type="list" sqref="D2:D200">
      <x:formula1>"Low,Medium,High"</x:formula1>
    </x:dataValidation>
    <x:dataValidation type="list" sqref="E2:E200">
      <x:formula1>"Low,Medium,High"</x:formula1>
    </x:dataValidation>
    <x:dataValidation type="list" sqref="H2:H200">
      <x:formula1>"Cheick,Codex,GPT,TBD"</x:formula1>
    </x:dataValidation>
    <x:dataValidation type="list" sqref="I2:I200">
      <x:formula1>"Open,Watching,Mitigated,Closed"</x:formula1>
    </x:dataValidation>
    <x:dataValidation type="list" sqref="D12">
      <x:formula1>"Low,Medium,High"</x:formula1>
    </x:dataValidation>
    <x:dataValidation type="list" sqref="E12">
      <x:formula1>"Low,Medium,High"</x:formula1>
    </x:dataValidation>
    <x:dataValidation type="list" sqref="H12">
      <x:formula1>"Cheick,Codex,GPT,TBD"</x:formula1>
    </x:dataValidation>
    <x:dataValidation type="list" sqref="I12">
      <x:formula1>"Open,Watching,Mitigated,Closed"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336f4934aa348c1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80" hidden="0" customWidth="1"/>
  </x:cols>
  <x:sheetData>
    <x:row r="1" ht="30" customHeight="1">
      <x:c r="A1" s="6" t="str">
        <x:v>Field</x:v>
      </x:c>
      <x:c r="B1" s="6" t="str">
        <x:v>Fill-in</x:v>
      </x:c>
    </x:row>
    <x:row r="2" ht="42" customHeight="1">
      <x:c r="A2" s="12" t="str">
        <x:v>Loop ID</x:v>
      </x:c>
      <x:c r="B2" s="12" t="str"/>
    </x:row>
    <x:row r="3" ht="42" customHeight="1">
      <x:c r="A3" s="12" t="str">
        <x:v>Hypothesis</x:v>
      </x:c>
      <x:c r="B3" s="12" t="str"/>
    </x:row>
    <x:row r="4" ht="42" customHeight="1">
      <x:c r="A4" s="12" t="str">
        <x:v>Smallest useful dataset</x:v>
      </x:c>
      <x:c r="B4" s="12" t="str"/>
    </x:row>
    <x:row r="5" ht="42" customHeight="1">
      <x:c r="A5" s="12" t="str">
        <x:v>Baseline</x:v>
      </x:c>
      <x:c r="B5" s="12" t="str"/>
    </x:row>
    <x:row r="6" ht="42" customHeight="1">
      <x:c r="A6" s="12" t="str">
        <x:v>Variant</x:v>
      </x:c>
      <x:c r="B6" s="12" t="str"/>
    </x:row>
    <x:row r="7" ht="42" customHeight="1">
      <x:c r="A7" s="12" t="str">
        <x:v>Split type</x:v>
      </x:c>
      <x:c r="B7" s="12" t="str">
        <x:v>event / sentence / session / subject</x:v>
      </x:c>
    </x:row>
    <x:row r="8" ht="42" customHeight="1">
      <x:c r="A8" s="12" t="str">
        <x:v>Primary metric</x:v>
      </x:c>
      <x:c r="B8" s="12" t="str"/>
    </x:row>
    <x:row r="9" ht="42" customHeight="1">
      <x:c r="A9" s="12" t="str">
        <x:v>Secondary metric</x:v>
      </x:c>
      <x:c r="B9" s="12" t="str"/>
    </x:row>
    <x:row r="10" ht="42" customHeight="1">
      <x:c r="A10" s="12" t="str">
        <x:v>Acceptance gate</x:v>
      </x:c>
      <x:c r="B10" s="12" t="str"/>
    </x:row>
    <x:row r="11" ht="42" customHeight="1">
      <x:c r="A11" s="12" t="str">
        <x:v>Kill / iterate / proceed rule</x:v>
      </x:c>
      <x:c r="B11" s="12" t="str"/>
    </x:row>
    <x:row r="12" ht="42" customHeight="1">
      <x:c r="A12" s="12" t="str">
        <x:v>Command(s)</x:v>
      </x:c>
      <x:c r="B12" s="12" t="str"/>
    </x:row>
    <x:row r="13" ht="42" customHeight="1">
      <x:c r="A13" s="12" t="str">
        <x:v>Result summary</x:v>
      </x:c>
      <x:c r="B13" s="12" t="str"/>
    </x:row>
    <x:row r="14" ht="42" customHeight="1">
      <x:c r="A14" s="12" t="str">
        <x:v>Decision</x:v>
      </x:c>
      <x:c r="B14" s="12" t="str"/>
    </x:row>
    <x:row r="15" ht="42" customHeight="1">
      <x:c r="A15" s="12" t="str">
        <x:v>Next loop impact</x:v>
      </x:c>
      <x:c r="B15" s="12" t="str"/>
    </x:row>
  </x:sheetData>
  <x:dataValidations count="1">
    <x:dataValidation type="list" sqref="B13">
      <x:formula1>"Proceed,Iterate,Park,Kill"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34" hidden="0" customWidth="1"/>
    <x:col min="3" max="3" width="80" hidden="0" customWidth="1"/>
  </x:cols>
  <x:sheetData>
    <x:row r="1" ht="30" customHeight="1">
      <x:c r="A1" s="6" t="str">
        <x:v>Loop ID</x:v>
      </x:c>
      <x:c r="B1" s="6" t="str">
        <x:v>Loop Name</x:v>
      </x:c>
      <x:c r="C1" s="6" t="str">
        <x:v>Prompt Seed</x:v>
      </x:c>
    </x:row>
    <x:row r="2" ht="58" customHeight="1">
      <x:c r="A2" s="14" t="n">
        <x:v>1</x:v>
      </x:c>
      <x:c r="B2" s="14" t="str">
        <x:v>PR1 Closeout + Smoke Loop</x:v>
      </x:c>
      <x:c r="C2" s="14" t="str">
        <x:v>Read PR1 diff, run tests, generate one synthetic cache, then attempt real one-block extraction only if files exist.</x:v>
      </x:c>
    </x:row>
    <x:row r="3" ht="58" customHeight="1">
      <x:c r="A3" s="14" t="n">
        <x:v>2</x:v>
      </x:c>
      <x:c r="B3" s="14" t="str">
        <x:v>SpanishBCBL Manifest v1</x:v>
      </x:c>
      <x:c r="C3" s="14" t="str">
        <x:v>Harden `manifest-from-paths` and produce a manifest summary with explicit unknowns rather than guessing.</x:v>
      </x:c>
    </x:row>
    <x:row r="4" ht="58" customHeight="1">
      <x:c r="A4" s="14" t="n">
        <x:v>3</x:v>
      </x:c>
      <x:c r="B4" s="14" t="str">
        <x:v>Safe Tiny-Shard Selector</x:v>
      </x:c>
      <x:c r="C4" s="14" t="str">
        <x:v>Make the tiny selector safety-first: max bytes, max files, dry-run default, and clear planned download report.</x:v>
      </x:c>
    </x:row>
    <x:row r="5" ht="58" customHeight="1">
      <x:c r="A5" s="14" t="n">
        <x:v>4</x:v>
      </x:c>
      <x:c r="B5" s="14" t="str">
        <x:v>B2Q-mini Cache v0</x:v>
      </x:c>
      <x:c r="C5" s="14" t="str">
        <x:v>Define the first stable tiny-cache schema and add a `load-cache` smoke command or test.</x:v>
      </x:c>
    </x:row>
    <x:row r="6" ht="58" customHeight="1">
      <x:c r="A6" s="14" t="n">
        <x:v>5</x:v>
      </x:c>
      <x:c r="B6" s="14" t="str">
        <x:v>Metrics + Error Report v1</x:v>
      </x:c>
      <x:c r="C6" s="14" t="str">
        <x:v>Build a report command that turns predictions + targets into a simple JSON/Markdown scorecard.</x:v>
      </x:c>
    </x:row>
    <x:row r="7" ht="58" customHeight="1">
      <x:c r="A7" s="14" t="n">
        <x:v>6</x:v>
      </x:c>
      <x:c r="B7" s="14" t="str">
        <x:v>LM-only / Prior-only Baseline</x:v>
      </x:c>
      <x:c r="C7" s="14" t="str">
        <x:v>Implement an intentionally dumb but critical no-brain baseline and wire it into the report.</x:v>
      </x:c>
    </x:row>
    <x:row r="8" ht="58" customHeight="1">
      <x:c r="A8" s="14" t="n">
        <x:v>7</x:v>
      </x:c>
      <x:c r="B8" s="14" t="str">
        <x:v>Template / Nearest-Centroid Baseline</x:v>
      </x:c>
      <x:c r="C8" s="14" t="str">
        <x:v>Build a tiny transparent classifier before any neural net. Make it boring and trustworthy.</x:v>
      </x:c>
    </x:row>
    <x:row r="9" ht="58" customHeight="1">
      <x:c r="A9" s="14" t="n">
        <x:v>8</x:v>
      </x:c>
      <x:c r="B9" s="14" t="str">
        <x:v>Tiny Conv / EEGNet-style Baseline</x:v>
      </x:c>
      <x:c r="C9" s="14" t="str">
        <x:v>Add a tiny neural baseline without making the package heavy; optional deps and fast smoke test only.</x:v>
      </x:c>
    </x:row>
    <x:row r="10" ht="58" customHeight="1">
      <x:c r="A10" s="14" t="n">
        <x:v>9</x:v>
      </x:c>
      <x:c r="B10" s="14" t="str">
        <x:v>CTC Character Decoder Scaffold</x:v>
      </x:c>
      <x:c r="C10" s="14" t="str">
        <x:v>Build a CPU-bounded continuous sentence cache and minimal CTC scaffold from validated S21 block1. Keep Torch optional; preserve the no-brain baseline; report shape, bytes, runtime, memory, CER, and blank rate; make no full-v2 performance claim.</x:v>
      </x:c>
    </x:row>
    <x:row r="11" ht="84" customHeight="1">
      <x:c r="A11" s="14" t="n">
        <x:v>10</x:v>
      </x:c>
      <x:c r="B11" s="14" t="str">
        <x:v>Sampling-Rate Sweep</x:v>
      </x:c>
      <x:c r="C11" s="14" t="str">
        <x:v>Run 100/50/25 Hz sentence-cache extraction from validated S21 block1 with identical 16-channel selection. Report bytes, runtime, peak RSS, valid lengths, CTC feasibility, and signal summaries; do not train or claim a real decoder.</x:v>
      </x:c>
    </x:row>
    <x:row r="12" ht="96" customHeight="1">
      <x:c r="A12" s="14" t="n">
        <x:v>11</x:v>
      </x:c>
      <x:c r="B12" s="14" t="str">
        <x:v>Channel / Sensor Subset Sweep</x:v>
      </x:c>
      <x:c r="C12" s="14" t="str">
        <x:v>Extract one 102-magnetometer 100 Hz S21 base cache with geometry before preload. Run nested 76/51/25/16/8 spatial-FPS, variance, random, and first-order subsets under 128 MiB; report resources, proxy metrics, overlaps, and exact identity without an accuracy or OPM claim.</x:v>
      </x:c>
    </x:row>
    <x:row r="13" ht="58" customHeight="1">
      <x:c r="A13" s="14" t="n">
        <x:v>12</x:v>
      </x:c>
      <x:c r="B13" s="14" t="str">
        <x:v>Precision + Storage Sweep</x:v>
      </x:c>
      <x:c r="C13" s="14" t="str">
        <x:v>On fixed Loop 11 base, FPS-16, and variance-16 caches, compare float32, float16, and calibrated integer/serialization variants. Record bytes, encode/load time, reconstruction RMSE/max error, saturation, and metadata identity; do not train or call a format accuracy-preserving.</x:v>
      </x:c>
    </x:row>
    <x:row r="14" ht="58" customHeight="1">
      <x:c r="A14" s="14" t="n">
        <x:v>13</x:v>
      </x:c>
      <x:c r="B14" s="14" t="str">
        <x:v>Measured Lazy-Backend Gate</x:v>
      </x:c>
      <x:c r="C14" s="14" t="str">
        <x:v>Run the bounded NPZ access gate first. Record relative inefficiency and absolute time/memory/size separately; add no backend without a failed measured gate and exact semantic-parity plan.</x:v>
      </x:c>
    </x:row>
    <x:row r="15" ht="96" customHeight="1">
      <x:c r="A15" s="14" t="n">
        <x:v>14</x:v>
      </x:c>
      <x:c r="B15" s="14" t="str">
        <x:v>Split Protocol v1</x:v>
      </x:c>
      <x:c r="C15" s="14" t="str">
        <x:v>Keep the strict 55/6/5 membership and five test rows frozen. Fit every data-dependent transform on train rows, compare neural and no-brain reports with paired uncertainty, and acquire another capped paired session before real adapter or candidate work.</x:v>
      </x:c>
    </x:row>
    <x:row r="16" ht="86" customHeight="1">
      <x:c r="A16" s="14" t="n">
        <x:v>15</x:v>
      </x:c>
      <x:c r="B16" s="14" t="str">
        <x:v>Normalization + Adapter Baseline</x:v>
      </x:c>
      <x:c r="C16" s="14" t="str">
        <x:v>Develop a synthetic domain-shift normalization/adapter gate and use only session-1 train rows for fit plus validation rows for selection. Keep source test and observed session 2 frozen; pre-register any next real comparison.</x:v>
      </x:c>
    </x:row>
    <x:row r="17" ht="58" customHeight="1">
      <x:c r="A17" s="14" t="n">
        <x:v>16</x:v>
      </x:c>
      <x:c r="B17" s="14" t="str">
        <x:v>Calibration Curve Study</x:v>
      </x:c>
      <x:c r="C17" s="14" t="str">
        <x:v>Build a CPU- and storage-bounded synthetic calibration curve for the robust channel-affine adapter. Use at least five calibration sizes, multiple shift seeds, unpaired target calibration, and one non-diagonal or time-varying shift. Report uncertainty and resource costs, compare against identity, and do not open any real holdout.</x:v>
      </x:c>
    </x:row>
    <x:row r="18" ht="58" customHeight="1">
      <x:c r="A18" s="14" t="n">
        <x:v>17</x:v>
      </x:c>
      <x:c r="B18" s="14" t="str">
        <x:v>Gradio Demo v1</x:v>
      </x:c>
      <x:c r="C18" s="14" t="str">
        <x:v>Build an honest, CPU-bounded Gradio demo from existing compact artifacts. Show a signal snippet, target, prediction, CER/WER, uncertainty, calibration status, and exact proof posture. Measure startup/RSS, keep Gradio optional, and state that the current typed-sentence CTC is noncausal and not arbitrary-thought decoding.</x:v>
      </x:c>
    </x:row>
    <x:row r="19" ht="78" customHeight="1">
      <x:c r="A19" s="14" t="n">
        <x:v>18</x:v>
      </x:c>
      <x:c r="B19" s="14" t="str">
        <x:v>Leaderboard + Report Cards</x:v>
      </x:c>
      <x:c r="C19" s="14" t="str">
        <x:v>Build Loop 18 as a local, artifact-only leaderboard. Define one versioned report-card contract for metrics, split/proof posture, comparator, resources, config, cache provenance, and missing-field flags; ingest at least three existing baselines without retraining or reopening observed real holdouts; emit deterministic JSON/Markdown plus one sortable CLI table; test malformed and mixed-version cards; report runtime, RSS, and bytes.</x:v>
      </x:c>
    </x:row>
    <x:row r="20" ht="81" customHeight="1">
      <x:c r="A20" s="14" t="n">
        <x:v>19</x:v>
      </x:c>
      <x:c r="B20" s="14" t="str">
        <x:v>EEG / MOABB Bridge</x:v>
      </x:c>
      <x:c r="C20" s="14" t="str">
        <x:v>Begin Loop 19 with a read-only, bounded EEG/MOABB-style bridge discovery gate. Identify the smallest task-compatible public EEG fixture, exact license, download bytes, optional dependency cost, channel/time/label mapping, and proof boundary before fetching data or adding code. Keep EEG and MEG report-card cohorts separate, default to no download, and define a CPU/storage acceptance gate plus a no-signal comparator.</x:v>
      </x:c>
    </x:row>
    <x:row r="21" ht="91.5" customHeight="1">
      <x:c r="A21" s="14" t="n">
        <x:v>20</x:v>
      </x:c>
      <x:c r="B21" s="14" t="str">
        <x:v>Neurotokens / v2-ready Interface</x:v>
      </x:c>
      <x:c r="C21" s="14" t="str">
        <x:v>Build Loop 20 as a small modality-aware NeuroTokenCache v0 interface over existing MEG/EEG arrays and synthetic embeddings. Define stable shape, dtype, timebase, channel/sensor geometry, validity mask, modality, split membership, source hashes, transformations, and resource metadata. Add synthetic contract and round-trip tests plus a bounded CLI smoke artifact. Do not assume unreleased Brain2Qwerty v2 data, train a larger model, reopen observed holdouts, or imply that embeddings are learned neurotokens with demonstrated decoding value.</x:v>
      </x:c>
    </x:row>
    <x:row r="22" ht="99" customHeight="1">
      <x:c r="A22" s="12" t="n">
        <x:v>21</x:v>
      </x:c>
      <x:c r="B22" s="12" t="str">
        <x:v>Causal NeuroToken Chunk/Replay</x:v>
      </x:c>
      <x:c r="C22" s="12" t="str">
        <x:v>Build a synthetic causal replay gate before any learned encoder or decoder. Define zero/right context, bounded mutable state, global frame timestamps, drop-incomplete flush behavior, several adversarial chunk schedules, offline compatibility, schedule-invariant output, scheduler delay, compute RTF, and strict access/resource caps. Do not open target arrays, real neural data, observed holdouts, or claim text/end-to-end latency.</x:v>
      </x:c>
    </x:row>
    <x:row r="23" ht="99" customHeight="1">
      <x:c r="A23" s="12" t="n">
        <x:v>22</x:v>
      </x:c>
      <x:c r="B23" s="12" t="str">
        <x:v>Tiny Learned Causal Encoder</x:v>
      </x:c>
      <x:c r="C23" s="12" t="str">
        <x:v>Train one optional-Torch causal encoder on synthetic train rows only, choose stopping/configuration on validation, compare with a no-signal prior, and open a frozen synthetic test once. Preserve Loop 21 chunk/state/timestamp equivalence and enforce parameter, mutable-state, CPU-thread, runtime, RSS, and artifact caps. Do not add a text decoder, language model, real-cache conversion, or observed MEG/EEG evaluation in this gate.</x:v>
      </x:c>
    </x:row>
    <x:row r="24" ht="93.75" customHeight="1">
      <x:c r="A24" s="12" t="n">
        <x:v>23</x:v>
      </x:c>
      <x:c r="B24" s="12" t="str">
        <x:v>Streaming CTC Prefix Decoder</x:v>
      </x:c>
      <x:c r="C24" s="12" t="str">
        <x:v>Preregister a fresh language-model-free greedy and width-8 prefix CTC gate with exact blank/repeat semantics, partial traces, controls, five-schedule replay, and one conditional frozen test open.</x:v>
      </x:c>
    </x:row>
    <x:row r="25" ht="93.75" customHeight="1">
      <x:c r="A25" s="12" t="n">
        <x:v>23.5</x:v>
      </x:c>
      <x:c r="B25" s="12" t="str">
        <x:v>Blank Intercept Calibration</x:v>
      </x:c>
      <x:c r="C25" s="12" t="str">
        <x:v>Fit exactly one train-frame blank-logit intercept on fresh splits, keep the decoder and symbol logits frozen, require no-harm calibration/control/replay gates, and open the new test once only after validation passes.</x:v>
      </x:c>
    </x:row>
    <x:row r="26" ht="93.75" customHeight="1">
      <x:c r="A26" s="12" t="n">
        <x:v>24</x:v>
      </x:c>
      <x:c r="B26" s="12" t="str">
        <x:v>Local Precision / Runtime Preregistration</x:v>
      </x:c>
      <x:c r="C26" s="12" t="str">
        <x:v>Before candidate code, freeze executable numeric paths, fresh selection data, reference outputs, correctness tolerances, runtime/RSS/state/size measurements, resource caps, and a no-rerun rule excluding consumed seeds 2203, 2303, and 2353.</x:v>
      </x:c>
    </x:row>
    <x:row r="27" ht="112.5" customHeight="1">
      <x:c r="A27" s="12" t="str">
        <x:v>RW1</x:v>
      </x:c>
      <x:c r="B27" s="12" t="str">
        <x:v>Metadata-Only Local Intake</x:v>
      </x:c>
      <x:c r="C27" s="12" t="str">
        <x:v>Recognize BrainVision, EDF/EDF+, BDF, EEGLAB, FIF, and BIDS synthetic fixtures; validate safe paths, companions, caps, deterministic JSON/Markdown, access counters, and refusal reasons without reading binary signal arrays, labels, targets, or network data.</x:v>
      </x:c>
    </x:row>
    <x:row r="28" ht="112.5" customHeight="1">
      <x:c r="A28" s="12" t="str">
        <x:v>RW2</x:v>
      </x:c>
      <x:c r="B28" s="12" t="str">
        <x:v>Signal-Quality Contract Preregistration</x:v>
      </x:c>
      <x:c r="C28" s="12" t="str">
        <x:v>Before implementation or signal access, freeze optional reader behavior, bounded samples/channels/time/bytes, units, reference, filters, geometry, events, PSD, warnings, privacy, one-thread resources, synthetic fixtures, and no-auto-deletion rules.</x:v>
      </x:c>
    </x:row>
    <x:row r="29" ht="123.75" customHeight="1">
      <x:c r="A29" s="12" t="str">
        <x:v>RW2-Impl</x:v>
      </x:c>
      <x:c r="B29" s="12" t="str">
        <x:v>Synthetic Bounded Signal Quality</x:v>
      </x:c>
      <x:c r="C29" s="12" t="str">
        <x:v>Implement commit eacb231 exactly on generated BrainVision, EDF/EDF+, BDF, external-FDT EEGLAB, FIF, and BIDS fixtures. Use explicit lazy optional readers, one thread, bounded windows/arrays/output, strict source binding, redaction and no-mutation checks, descriptive metrics only, exact malformed/refusal tests, and no real/S20/consumed/target/model/training access.</x:v>
      </x:c>
    </x:row>
    <x:row r="30" ht="126" customHeight="1">
      <x:c r="A30" s="12" t="str">
        <x:v>RW3</x:v>
      </x:c>
      <x:c r="B30" s="12" t="str">
        <x:v>Offline Replay / Live-Source Equivalence Preregistration</x:v>
      </x:c>
      <x:c r="C30" s="12" t="str">
        <x:v>Before installing or using BrainFlow, LSL, or hardware, freeze one versioned chunk/source schema; exact payload, channel, timestamp, clock-correction, packet-loss, ordering, mutable-state, flush, and schedule semantics; synthetic/playback dependency boundaries; privacy and local-only rules; one-thread runtime/RSS/state/output caps; exact replay tolerances; and proceed/park/kill rules. Do not open real/consumed/S20 data, train a model, or claim live, portable, real-time, or decoding support.</x:v>
      </x:c>
    </x:row>
    <x:row r="31" ht="126" customHeight="1">
      <x:c r="A31" s="12" t="str">
        <x:v>RW3-Review</x:v>
      </x:c>
      <x:c r="B31" s="12" t="str">
        <x:v>Review Frozen Replay Equivalence Registration</x:v>
      </x:c>
      <x:c r="C31" s="12" t="str">
        <x:v>Review commit c3d1f01, the RW3 primary-source research, preregistration, machine contract, and invariant tests. Confirm five schedules, 18 future fixture families, 30 refusal IDs, four sequential stages, strict timestamp/anomaly/hash/resource/access rules, and the no-runtime/no-decoding boundary. Do not implement Stage A, install BrainFlow/LSL/PyXDF, open sockets or streams, touch hardware or real/consumed data, create targets, run models, or train without separate explicit authorization.</x:v>
      </x:c>
    </x:row>
    <x:row r="32" ht="126" customHeight="1">
      <x:c r="A32" s="12" t="str">
        <x:v>RW3-StageA-Decision</x:v>
      </x:c>
      <x:c r="B32" s="12" t="str">
        <x:v>Decide Stage A Only</x:v>
      </x:c>
      <x:c r="C32" s="12" t="str">
        <x:v>Review docs/RW3_STAGE_A_AUTHORIZATION_PACKET.md and registries/rw3_stage_a_authorization_request.v0.json. Confirm the c3d1f01 contract hash, 90 proposed cases, 30 refusals, one-thread caps, forbidden work, and authorization-only commit sequence. Decide explicitly to authorize Stage A only, amend the packet, or hold. General continuation is not authorization. Do not implement anything; BrainFlow, LSL, PyXDF, sockets, devices, real or consumed data, targets, models, training, and Stages B-D remain unauthorized.</x:v>
      </x:c>
    </x:row>
    <x:row r="33" ht="39.599998474121094" hidden="0" customHeight="1">
      <x:c r="A33" s="14" t="str">
        <x:v>Loop24-Execute</x:v>
      </x:c>
      <x:c r="B33" s="14" t="str">
        <x:v>Authorized Target-Free Precision / Runtime Gate (Consumed)</x:v>
      </x:c>
      <x:c r="C33" s="14" t="str">
        <x:v>Historical consumed protocol only. Loop 24 ran once after its authorization-only commit and is now parked. Do not rerun seed 2401 or open seed 2402. Read docs/LOOP_24_LOCAL_PRECISION_RUNTIME.md and make the next action a separate Loop 25 preregistration decision.</x:v>
      </x:c>
    </x:row>
    <x:row r="34" ht="126" hidden="0" customHeight="1">
      <x:c r="A34" s="14" t="str">
        <x:v>Loop25-Decision</x:v>
      </x:c>
      <x:c r="B34" s="14" t="str">
        <x:v>Decide Amended Causal Preprocessing Gate v1</x:v>
      </x:c>
      <x:c r="C34" s="14" t="str">
        <x:v>Review docs/LOOP_25_AUTHORIZATION_PACKET_V1.md and registries/loop25_authorization_request.v1.json. Confirm green amendment b6b92d8, contract SHA-256 ecec99a7cc505ec0256c01c3c1e8aeaa05323ab54a71528323fa6d32bd289141, the dedicated anti-alias stage, 65,537 response points, 23 alias probes, seeds 2501/2502, seven schedules, ten resume cuts, three future-mutation cuts, 45 refusals, 23 counters, and 8 MiB/45-second caps. Decide explicitly to authorize only v1, amend again, or hold. General continuation is not authorization. Do not implement, generate coefficients or fixtures, open either seed, read data/caches/targets, run models, train, touch RW3, streams, devices, or hardware from this prompt.</x:v>
      </x:c>
    </x:row>
    <x:row r="35" ht="135" customHeight="1">
      <x:c r="A35" s="12" t="str">
        <x:v>Loop26-Research</x:v>
      </x:c>
      <x:c r="B35" s="12" t="str">
        <x:v>Review Validation Identifiability Before Preregistration</x:v>
      </x:c>
      <x:c r="C35" s="12" t="str">
        <x:v>Read docs/LOOP_26_PRIMARY_SOURCE_RESEARCH.md and registries/loop26_research_boundary.v0.json. Confirm 55/6/5 source membership, one person/session, 64 paired assignments, the unfrozen 2,908-parameter causal candidate and 2,884-parameter linear comparator, six control families, and 14 false authorization flags. Loop 25 must close first. Do not read caches or targets, run or train a model, open validation, reopen source test or session 2, create an experiment contract, or treat this research packet as authorization.</x:v>
      </x:c>
    </x:row>
    <x:row r="36" ht="144" customHeight="1">
      <x:c r="A36" s="12" t="str">
        <x:v>Loop30-Research</x:v>
      </x:c>
      <x:c r="B36" s="12" t="str">
        <x:v>Review Target-Free Local Replay Boundary Without Executing It</x:v>
      </x:c>
      <x:c r="C36" s="12" t="str">
        <x:v>Loop 30 planning research only; no execution.</x:v>
      </x:c>
    </x:row>
    <x:row r="37" ht="92.4000015258789" hidden="0" customHeight="1">
      <x:c r="A37" s="12" t="str">
        <x:v>Loop31-Research</x:v>
      </x:c>
      <x:c r="B37" s="12" t="str">
        <x:v>Review Neural-Attribution Firewall Without Executing It</x:v>
      </x:c>
      <x:c r="C37" s="12" t="str">
        <x:v>Loop 31 planning research only; no execution.</x:v>
      </x:c>
    </x:row>
    <x:row r="38" ht="120" customHeight="1">
      <x:c r="A38" s="39" t="str">
        <x:v>Loop32-Research</x:v>
      </x:c>
      <x:c r="B38" s="39" t="str">
        <x:v>Review Fresh-Person Calibration Boundary Without Executing It</x:v>
      </x:c>
      <x:c r="C38" s="39" t="str">
        <x:v>Read docs/LOOP_32_PRIMARY_SOURCE_RESEARCH.md and registries/loop32_research_boundary.v0.json. Confirm four distinct modes, the causal 32-parameter adapter recommendation, nested 0/2/4/8/16/32 sentence budgets, physical 32/16/48 split floors, zero-shot-before-calibration freeze order, six conditions, seven claims, 20 gates, 26 refusals, and 22 false permissions. Loop 32 remains Not Started. Do not select or open a participant, repurpose S25, read signal/labels/targets, run a checkpoint or adapter, train, evaluate, download, stream, or touch a device; do not call calibration zero-shot or one person population evidence.</x:v>
      </x:c>
    </x:row>
    <x:row r="39" ht="126" customHeight="1">
      <x:c r="A39" t="str">
        <x:v>Loop30-Research</x:v>
      </x:c>
      <x:c r="B39" t="str">
        <x:v>Review Target-Free Local Replay Boundary Without Executing It</x:v>
      </x:c>
      <x:c r="C39" t="str">
        <x:v>Read docs/LOOP_30_PRIMARY_SOURCE_RESEARCH.md and registries/loop30_research_boundary.v0.json. Confirm four source modes, a new target-free trace only after authorization, 30 event fields, nine clock domains, six latency levels, explicit revisions/finalization, stability not confidence/correctness, fixed 127.0.0.1 privacy settings, accessible status/log semantics, 18 future gates, 30 refusals, and 30 false permissions. Loop 30 remains Not Started. Do not select a seed, generate a trace, reopen Loop 23/24 or S7/S21 artifacts, launch a UI/server/browser, read targets or models, open a socket/stream, touch a device, or treat replay as live/end-to-end neural decoding.</x:v>
      </x:c>
    </x:row>
    <x:row r="40" ht="136" customHeight="1">
      <x:c r="A40" t="str">
        <x:v>Loop31-Research</x:v>
      </x:c>
      <x:c r="B40" t="str">
        <x:v>Review Neural-Attribution Firewall Without Executing It</x:v>
      </x:c>
      <x:c r="C40" t="str">
        <x:v>Read docs/LOOP_31_PRIMARY_SOURCE_RESEARCH.md and registries/loop31_research_boundary.v0.json. Confirm the 10-condition encoder matrix, contingent 5-condition LLM/Neuro Token matrix, five separate estimands, exact six-row intersection-union math, timing/context allowlist, target-blind prediction freeze, six claim classes, 18 future gates, 24 refusals, and 19 false permissions. Loop 31 remains Not Started. Do not open a cache, target, checkpoint, model, validation row, consumed S7/S21 evidence, S20/S25, LLM, Neuro Token, stream, device, or hardware; do not label sensor-signal dependence as brain-specific before Loop 35.</x:v>
      </x:c>
    </x:row>
    <x:row r="41" ht="148" customHeight="1">
      <x:c r="A41" t="str">
        <x:v>Loop32-Research</x:v>
      </x:c>
      <x:c r="B41" t="str">
        <x:v>Review Fresh-Person Calibration Boundary Without Executing It</x:v>
      </x:c>
      <x:c r="C41" t="str">
        <x:v>Read docs/LOOP_32_PRIMARY_SOURCE_RESEARCH.md and registries/loop32_research_boundary.v0.json. Confirm four distinct modes, the causal 32-parameter adapter recommendation, nested 0/2/4/8/16/32 sentence budgets, physical 32/16/48 split floors, zero-shot-before-calibration freeze order, six conditions, seven claims, 20 gates, 26 refusals, and 22 false permissions. Loop 32 remains Not Started. Do not select or open a participant, repurpose S25, read signal/labels/targets, run a checkpoint or adapter, train, evaluate, download, stream, or touch a device; do not call calibration zero-shot or one person population evidence.</x:v>
      </x:c>
    </x:row>
    <x:row r="42">
      <x:c r="A42" t="str">
        <x:v>Loop33-Research</x:v>
      </x:c>
      <x:c r="B42" t="str">
        <x:v>Review Bounded Scaling Boundary Without Executing It</x:v>
      </x:c>
      <x:c r="C42" t="str">
        <x:v>Read docs/LOOP_33_PRIMARY_SOURCE_RESEARCH.md and registries/loop33_research_boundary.v0.json. Confirm nested 8/16/24/32/44/55 unique-sentence prefixes, at most three seeds and 18 fits, matched no-signal priors, the target-blind shared Loop 26/31/33 validation order, four conditions, seven outcomes, seven claims, 20 gates, 30 refusals, and 23 false permissions. Loop 33 remains Not Started. Do not open train/validation payloads or targets, run a model/control, train, score, duplicate rows as physical repetitions, acquire data, transfer a 90-hour exponent, or claim population, energy, real-time, portable, at-home, assistive, diagnostic, or clinical behavior.</x:v>
      </x:c>
    </x:row>
    <x:row r="43">
      <x:c r="A43" t="str">
        <x:v>Loop34-Research</x:v>
      </x:c>
      <x:c r="B43" t="str">
        <x:v>Review Confidence Boundary Without Executing It</x:v>
      </x:c>
      <x:c r="C43" t="str">
        <x:v>Read docs/LOOP_34_PRIMARY_SOURCE_RESEARCH.md and registries/loop34_research_boundary.v0.json. Confirm seven confidence semantics, eight score/control roles, recommended fresh 128/64/256 synthetic calibration/selection/final partitions, the six-row real-data insufficiency boundary, bounded exact-sequence loss, generalized-risk and revision-delay reporting, eight outcomes, seven claims, 20 gates, 30 refusals, and 26 false permissions. Loop 34 remains Not Started and confidence unavailable. Do not generate a fixture, reuse real/consumed text, compute features, fit a probability map or threshold, open targets, score, expose confidence, access S20/S25, or call stability correctness, raw score probability, or synthetic evidence real confidence.</x:v>
      </x:c>
    </x:row>
  </x:sheetData>
  <x:pageMargins left="0.7" right="0.7" top="0.75" bottom="0.75" header="0.3" footer="0.3"/>
  <x:tableParts count="1">
    <x:tablePart xmlns:r="http://schemas.openxmlformats.org/officeDocument/2006/relationships" r:id="Rec0cd44ed6c24be8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9.130000114440918" hidden="0" customWidth="1"/>
    <x:col min="2" max="2" width="6.25" hidden="0" customWidth="1"/>
    <x:col min="3" max="3" width="5.75" hidden="0" customWidth="1"/>
    <x:col min="4" max="4" width="4.75" hidden="0" customWidth="1"/>
    <x:col min="5" max="5" width="9.130000114440918" hidden="0" customWidth="1"/>
    <x:col min="6" max="6" width="7" hidden="0" customWidth="1"/>
    <x:col min="7" max="7" width="8.380000114440918" hidden="0" customWidth="1"/>
    <x:col min="8" max="8" width="6.880000114440918" hidden="0" customWidth="1"/>
    <x:col min="9" max="9" width="8.75" hidden="0" customWidth="1"/>
  </x:cols>
  <x:sheetData>
    <x:row r="1" ht="30" customHeight="1">
      <x:c r="A1" s="6" t="str">
        <x:v>Status</x:v>
      </x:c>
      <x:c r="B1" s="6" t="str">
        <x:v>Priority</x:v>
      </x:c>
      <x:c r="C1" s="6" t="str">
        <x:v>Owner</x:v>
      </x:c>
      <x:c r="D1" s="6" t="str">
        <x:v>Effort</x:v>
      </x:c>
      <x:c r="E1" s="6" t="str">
        <x:v>Complexity</x:v>
      </x:c>
      <x:c r="F1" s="6" t="str">
        <x:v>Decision</x:v>
      </x:c>
      <x:c r="G1" s="6" t="str">
        <x:v>Likelihood</x:v>
      </x:c>
      <x:c r="H1" s="6" t="str">
        <x:v>Impact</x:v>
      </x:c>
      <x:c r="I1" s="6" t="str">
        <x:v>Risk Status</x:v>
      </x:c>
    </x:row>
    <x:row r="2">
      <x:c r="A2" t="str">
        <x:v>Not Started</x:v>
      </x:c>
      <x:c r="B2" t="str">
        <x:v>P0</x:v>
      </x:c>
      <x:c r="C2" t="str">
        <x:v>Cheick</x:v>
      </x:c>
      <x:c r="D2" t="str">
        <x:v>XS</x:v>
      </x:c>
      <x:c r="E2" t="str">
        <x:v>Low</x:v>
      </x:c>
      <x:c r="F2" t="str">
        <x:v>Proceed</x:v>
      </x:c>
      <x:c r="G2" t="str">
        <x:v>Low</x:v>
      </x:c>
      <x:c r="H2" t="str">
        <x:v>Low</x:v>
      </x:c>
      <x:c r="I2" t="str">
        <x:v>Open</x:v>
      </x:c>
    </x:row>
    <x:row r="3">
      <x:c r="A3" t="str">
        <x:v>In Progress</x:v>
      </x:c>
      <x:c r="B3" t="str">
        <x:v>P1</x:v>
      </x:c>
      <x:c r="C3" t="str">
        <x:v>Codex</x:v>
      </x:c>
      <x:c r="D3" t="str">
        <x:v>S</x:v>
      </x:c>
      <x:c r="E3" t="str">
        <x:v>Medium</x:v>
      </x:c>
      <x:c r="F3" t="str">
        <x:v>Iterate</x:v>
      </x:c>
      <x:c r="G3" t="str">
        <x:v>Medium</x:v>
      </x:c>
      <x:c r="H3" t="str">
        <x:v>Medium</x:v>
      </x:c>
      <x:c r="I3" t="str">
        <x:v>Watching</x:v>
      </x:c>
    </x:row>
    <x:row r="4">
      <x:c r="A4" t="str">
        <x:v>Review</x:v>
      </x:c>
      <x:c r="B4" t="str">
        <x:v>P2</x:v>
      </x:c>
      <x:c r="C4" t="str">
        <x:v>GPT</x:v>
      </x:c>
      <x:c r="D4" t="str">
        <x:v>M</x:v>
      </x:c>
      <x:c r="E4" t="str">
        <x:v>High</x:v>
      </x:c>
      <x:c r="F4" t="str">
        <x:v>Park</x:v>
      </x:c>
      <x:c r="G4" t="str">
        <x:v>High</x:v>
      </x:c>
      <x:c r="H4" t="str">
        <x:v>High</x:v>
      </x:c>
      <x:c r="I4" t="str">
        <x:v>Mitigated</x:v>
      </x:c>
    </x:row>
    <x:row r="5">
      <x:c r="A5" t="str">
        <x:v>Blocked</x:v>
      </x:c>
      <x:c r="B5" t="str">
        <x:v>P3</x:v>
      </x:c>
      <x:c r="C5" t="str">
        <x:v>TBD</x:v>
      </x:c>
      <x:c r="D5" t="str">
        <x:v>L</x:v>
      </x:c>
      <x:c r="E5" t="str">
        <x:v>Spike</x:v>
      </x:c>
      <x:c r="F5" t="str">
        <x:v>Kill</x:v>
      </x:c>
      <x:c r="G5" t="str"/>
      <x:c r="H5" t="str"/>
      <x:c r="I5" t="str">
        <x:v>Closed</x:v>
      </x:c>
    </x:row>
    <x:row r="6">
      <x:c r="A6" t="str">
        <x:v>Done</x:v>
      </x:c>
      <x:c r="B6" t="str"/>
      <x:c r="C6" t="str"/>
      <x:c r="D6" t="str">
        <x:v>XL</x:v>
      </x:c>
      <x:c r="E6" t="str"/>
      <x:c r="F6" t="str"/>
      <x:c r="G6" t="str"/>
      <x:c r="H6" t="str"/>
      <x:c r="I6" t="str"/>
    </x:row>
    <x:row r="7">
      <x:c r="A7" t="str">
        <x:v>Parked</x:v>
      </x:c>
      <x:c r="B7" t="str"/>
      <x:c r="C7" t="str"/>
      <x:c r="D7" t="str"/>
      <x:c r="E7" t="str"/>
      <x:c r="F7" t="str"/>
      <x:c r="G7" t="str"/>
      <x:c r="H7" t="str"/>
      <x:c r="I7" t="str"/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.78000020980835" hidden="0" customWidth="1"/>
    <x:col min="2" max="2" width="18.889999389648438" hidden="0" customWidth="1"/>
    <x:col min="3" max="3" width="33.33000183105469" hidden="0" customWidth="1"/>
    <x:col min="4" max="4" width="11.109999656677246" hidden="0" customWidth="1"/>
    <x:col min="5" max="5" width="28.889999389648438" hidden="0" customWidth="1"/>
    <x:col min="6" max="6" width="37.779998779296875" hidden="0" customWidth="1"/>
    <x:col min="7" max="7" width="17.780000686645508" hidden="0" customWidth="1"/>
    <x:col min="8" max="8" width="21.110000610351562" hidden="0" customWidth="1"/>
    <x:col min="9" max="9" width="31.110000610351562" hidden="0" customWidth="1"/>
  </x:cols>
  <x:sheetData>
    <x:row r="1" ht="28.5" customHeight="1">
      <x:c r="A1" s="44" t="str">
        <x:v>NeuroDecodeKit Real-World Practice Track</x:v>
      </x:c>
      <x:c r="B1" s="44"/>
      <x:c r="C1" s="44"/>
      <x:c r="D1" s="44"/>
      <x:c r="E1" s="44"/>
      <x:c r="F1" s="44"/>
      <x:c r="G1" s="44"/>
      <x:c r="H1" s="44"/>
      <x:c r="I1" s="44"/>
    </x:row>
    <x:row r="2" ht="42" customHeight="1">
      <x:c r="A2" s="48" t="str">
        <x:v>Parallel to Loop 24. Its frozen target-free run is now parked after 65.154951 s exceeded the 60 s cap; float32 is retained, seed 2401 is consumed, and seed 2402 stayed unopened. RW3 Stage A remains unauthorized at 163ff2f, and RW4/S20 remains blocked. Real data, targets, training, energy, streams, devices, and hardware are not authorized.</x:v>
      </x:c>
      <x:c r="B2" s="48"/>
      <x:c r="C2" s="48"/>
      <x:c r="D2" s="48"/>
      <x:c r="E2" s="48"/>
      <x:c r="F2" s="48"/>
      <x:c r="G2" s="48"/>
      <x:c r="H2" s="48"/>
      <x:c r="I2" s="48"/>
    </x:row>
    <x:row r="4" ht="24" customHeight="1">
      <x:c r="A4" s="53" t="str">
        <x:v>ID</x:v>
      </x:c>
      <x:c r="B4" s="53" t="str">
        <x:v>Gate</x:v>
      </x:c>
      <x:c r="C4" s="53" t="str">
        <x:v>Core Question</x:v>
      </x:c>
      <x:c r="D4" s="53" t="str">
        <x:v>Status</x:v>
      </x:c>
      <x:c r="E4" s="53" t="str">
        <x:v>Deliverable</x:v>
      </x:c>
      <x:c r="F4" s="53" t="str">
        <x:v>Acceptance Boundary</x:v>
      </x:c>
      <x:c r="G4" s="53" t="str">
        <x:v>Depends On</x:v>
      </x:c>
      <x:c r="H4" s="53" t="str">
        <x:v>Proof Posture</x:v>
      </x:c>
      <x:c r="I4" s="53" t="str">
        <x:v>Evidence</x:v>
      </x:c>
    </x:row>
    <x:row r="5" ht="61.5" customHeight="1">
      <x:c r="A5" s="57" t="str">
        <x:v>RW0</x:v>
      </x:c>
      <x:c r="B5" s="57" t="str">
        <x:v>Dataset/device research</x:v>
      </x:c>
      <x:c r="C5" s="57" t="str">
        <x:v>Which cohorts, devices, formats, and transports are credible?</x:v>
      </x:c>
      <x:c r="D5" s="65" t="str">
        <x:v>Done</x:v>
      </x:c>
      <x:c r="E5" s="57" t="str">
        <x:v>Versioned registries, primary-source research, BYO spec, exact fresh-data packet.</x:v>
      </x:c>
      <x:c r="F5" s="57" t="str">
        <x:v>8 datasets, 13 devices, zero signal/consumed/model/target/download access.</x:v>
      </x:c>
      <x:c r="G5" s="57" t="str">
        <x:v>None</x:v>
      </x:c>
      <x:c r="H5" s="57" t="str">
        <x:v>Metadata-only research</x:v>
      </x:c>
      <x:c r="I5" s="57" t="str">
        <x:v>docs/REAL_WORLD_PRACTICE_TRACK_RESEARCH.md</x:v>
      </x:c>
    </x:row>
    <x:row r="6" ht="69" customHeight="1">
      <x:c r="A6" s="61" t="str">
        <x:v>RW1</x:v>
      </x:c>
      <x:c r="B6" s="61" t="str">
        <x:v>Local metadata intake</x:v>
      </x:c>
      <x:c r="C6" s="61" t="str">
        <x:v>Can a user identify a local recording without reading signal arrays?</x:v>
      </x:c>
      <x:c r="D6" s="70" t="str">
        <x:v>Done</x:v>
      </x:c>
      <x:c r="E6" s="61" t="str">
        <x:v>Dependency-free level-0 scanner, CLI, deterministic JSON/Markdown.</x:v>
      </x:c>
      <x:c r="F6" s="61" t="str">
        <x:v>Closed: 11 focused tests; 532-byte fixture; 11,545 output bytes; zero signal/target/model/network access.</x:v>
      </x:c>
      <x:c r="G6" s="61" t="str">
        <x:v>RW0</x:v>
      </x:c>
      <x:c r="H6" s="61" t="str">
        <x:v>No signal or decoding claim</x:v>
      </x:c>
      <x:c r="I6" s="61" t="str">
        <x:v>docs/RW1_METADATA_ONLY_LOCAL_INTAKE.md</x:v>
      </x:c>
    </x:row>
    <x:row r="7" ht="81" customHeight="1">
      <x:c r="A7" s="57" t="str">
        <x:v>RW2</x:v>
      </x:c>
      <x:c r="B7" s="57" t="str">
        <x:v>Signal-quality contract</x:v>
      </x:c>
      <x:c r="C7" s="57" t="str">
        <x:v>Can optional readers validate bounded signals, timing, events, and quality?</x:v>
      </x:c>
      <x:c r="D7" s="73" t="str">
        <x:v>Done</x:v>
      </x:c>
      <x:c r="E7" s="57" t="str">
        <x:v>Direct optional MNE adapters, deterministic quality JSON/Markdown/audit, strict load/validation, and 40 target-free fixtures.</x:v>
      </x:c>
      <x:c r="F7" s="57" t="str">
        <x:v>Closed: 38 readable fixtures pass; 2 refusals match; 9 focused tests; 76,592-byte FIF report; zero real/cache/target/model/training/network access.</x:v>
      </x:c>
      <x:c r="G7" s="57" t="str">
        <x:v>RW1 + eacb231</x:v>
      </x:c>
      <x:c r="H7" s="57" t="str">
        <x:v>Synthetic compatibility level 2 only</x:v>
      </x:c>
      <x:c r="I7" s="57" t="str">
        <x:v>docs/RW2_SIGNAL_QUALITY_CLOSEOUT.md</x:v>
      </x:c>
    </x:row>
    <x:row r="8" ht="126" customHeight="1">
      <x:c r="A8" s="61" t="str">
        <x:v>RW3</x:v>
      </x:c>
      <x:c r="B8" s="61" t="str">
        <x:v>Replay/live equivalence</x:v>
      </x:c>
      <x:c r="C8" s="61" t="str">
        <x:v>Can offline replay use the exact future live-source chunk contract?</x:v>
      </x:c>
      <x:c r="D8" s="77" t="str">
        <x:v>Review</x:v>
      </x:c>
      <x:c r="E8" s="61" t="str">
        <x:v>Frozen contract plus a hash-bound Stage A decision packet: five schedules x 18 future target-free fixtures = 90 cases, all 30 refusal IDs, exact one-thread caps, and an authorization-only commit sequence.</x:v>
      </x:c>
      <x:c r="F8" s="61" t="str">
        <x:v>10 contract/request invariants pass; authorized_now is false; zero source chunks, fixtures, CLI additions, optional imports, sockets, streams, boards, XDF/data/target/model/training access.</x:v>
      </x:c>
      <x:c r="G8" s="61" t="str">
        <x:v>RW2 + c3d1f01 + 163ff2f</x:v>
      </x:c>
      <x:c r="H8" s="61" t="str">
        <x:v>Decision packet only; Stage A unapproved</x:v>
      </x:c>
      <x:c r="I8" s="61" t="str">
        <x:v>docs/RW3_STAGE_A_AUTHORIZATION_PACKET.md</x:v>
      </x:c>
    </x:row>
    <x:row r="9" ht="61.5" customHeight="1">
      <x:c r="A9" s="57" t="str">
        <x:v>RW4</x:v>
      </x:c>
      <x:c r="B9" s="57" t="str">
        <x:v>Fresh public EEG benchmark</x:v>
      </x:c>
      <x:c r="C9" s="57" t="str">
        <x:v>Does one fresh typing block beat prior and shuffle controls?</x:v>
      </x:c>
      <x:c r="D9" s="69" t="str">
        <x:v>Blocked</x:v>
      </x:c>
      <x:c r="E9" s="57" t="str">
        <x:v>One-time S20 event-level aggregate report.</x:v>
      </x:c>
      <x:c r="F9" s="57" t="str">
        <x:v>Explicit approval; exactly 4 files/96,090,264 bytes; no CER/WER.</x:v>
      </x:c>
      <x:c r="G9" s="57" t="str">
        <x:v>User approval + RW2</x:v>
      </x:c>
      <x:c r="H9" s="57" t="str">
        <x:v>Within-recording event evidence at most</x:v>
      </x:c>
      <x:c r="I9" s="57" t="str">
        <x:v>docs/FRESH_EEG_BENCHMARK_S20_APPROVAL_PACKET.md</x:v>
      </x:c>
    </x:row>
    <x:row r="10" ht="61.5" customHeight="1">
      <x:c r="A10" s="61" t="str">
        <x:v>RW5</x:v>
      </x:c>
      <x:c r="B10" s="61" t="str">
        <x:v>Board-neutral acquisition</x:v>
      </x:c>
      <x:c r="C10" s="61" t="str">
        <x:v>Can one BrainFlow or LSL EEG board pass replay and privacy gates?</x:v>
      </x:c>
      <x:c r="D10" s="68" t="str">
        <x:v>Not Started</x:v>
      </x:c>
      <x:c r="E10" s="61" t="str">
        <x:v>One device descriptor and recorded/live comparison.</x:v>
      </x:c>
      <x:c r="F10" s="61" t="str">
        <x:v>Measured raw API, timing, packet loss, consent, and locality.</x:v>
      </x:c>
      <x:c r="G10" s="61" t="str">
        <x:v>RW3</x:v>
      </x:c>
      <x:c r="H10" s="61" t="str">
        <x:v>No portable decoder claim</x:v>
      </x:c>
      <x:c r="I10" s="61" t="str">
        <x:v>registries/devices.v0.json</x:v>
      </x:c>
    </x:row>
    <x:row r="11" ht="61.5" customHeight="1">
      <x:c r="A11" s="57" t="str">
        <x:v>RW6</x:v>
      </x:c>
      <x:c r="B11" s="57" t="str">
        <x:v>Prompted-typing EEG protocol</x:v>
      </x:c>
      <x:c r="C11" s="57" t="str">
        <x:v>Can task-matched local EEG be collected with synchronized prompts/keys?</x:v>
      </x:c>
      <x:c r="D11" s="67" t="str">
        <x:v>Not Started</x:v>
      </x:c>
      <x:c r="E11" s="57" t="str">
        <x:v>Consent, retention, trigger, calibration, and split protocol.</x:v>
      </x:c>
      <x:c r="F11" s="57" t="str">
        <x:v>No collection before ethics, consent, and exact preregistration.</x:v>
      </x:c>
      <x:c r="G11" s="57" t="str">
        <x:v>RW5</x:v>
      </x:c>
      <x:c r="H11" s="57" t="str">
        <x:v>Acquisition protocol only</x:v>
      </x:c>
      <x:c r="I11" s="57" t="str">
        <x:v>docs/POST_20_ROADMAP.md</x:v>
      </x:c>
    </x:row>
    <x:row r="12" ht="61.5" customHeight="1">
      <x:c r="A12" s="61" t="str">
        <x:v>RW7</x:v>
      </x:c>
      <x:c r="B12" s="61" t="str">
        <x:v>Multimodal ablations</x:v>
      </x:c>
      <x:c r="C12" s="61" t="str">
        <x:v>What comes from EEG versus eye, EOG, EMG, heart, motion, or audio?</x:v>
      </x:c>
      <x:c r="D12" s="68" t="str">
        <x:v>Not Started</x:v>
      </x:c>
      <x:c r="E12" s="61" t="str">
        <x:v>Brain-only, peripheral-only, and combined reports.</x:v>
      </x:c>
      <x:c r="F12" s="61" t="str">
        <x:v>Peripheral contribution never credited to EEG; controls mandatory.</x:v>
      </x:c>
      <x:c r="G12" s="61" t="str">
        <x:v>RW5-RW6</x:v>
      </x:c>
      <x:c r="H12" s="61" t="str">
        <x:v>Cohort-specific attribution</x:v>
      </x:c>
      <x:c r="I12" s="61" t="str">
        <x:v>registries/devices.v0.json</x:v>
      </x:c>
    </x:row>
    <x:row r="13" ht="61.5" customHeight="1">
      <x:c r="A13" s="57" t="str">
        <x:v>RW8</x:v>
      </x:c>
      <x:c r="B13" s="57" t="str">
        <x:v>Local BYO workbench</x:v>
      </x:c>
      <x:c r="C13" s="57" t="str">
        <x:v>Can users inspect, replay, qualify, and report without cloud upload?</x:v>
      </x:c>
      <x:c r="D13" s="67" t="str">
        <x:v>Not Started</x:v>
      </x:c>
      <x:c r="E13" s="57" t="str">
        <x:v>Operational local interface with compatibility levels 0-6.</x:v>
      </x:c>
      <x:c r="F13" s="57" t="str">
        <x:v>Unknown input remains inspectable but non-decodable.</x:v>
      </x:c>
      <x:c r="G13" s="57" t="str">
        <x:v>RW1-RW7</x:v>
      </x:c>
      <x:c r="H13" s="57" t="str">
        <x:v>Product capability only</x:v>
      </x:c>
      <x:c r="I13" s="57" t="str">
        <x:v>docs/BYO_NEURODATA_WORKBENCH_SPEC.md</x:v>
      </x:c>
    </x:row>
    <x:row r="14" ht="61.5" customHeight="1">
      <x:c r="A14" s="61" t="str">
        <x:v>RW9</x:v>
      </x:c>
      <x:c r="B14" s="61" t="str">
        <x:v>Phone/wearable deployment</x:v>
      </x:c>
      <x:c r="C14" s="61" t="str">
        <x:v>Which validated capabilities fit a mobile or wearable envelope?</x:v>
      </x:c>
      <x:c r="D14" s="68" t="str">
        <x:v>Not Started</x:v>
      </x:c>
      <x:c r="E14" s="61" t="str">
        <x:v>Measured offline packaging, battery, latency, and privacy gate.</x:v>
      </x:c>
      <x:c r="F14" s="61" t="str">
        <x:v>Requires a qualified device/task/model first.</x:v>
      </x:c>
      <x:c r="G14" s="61" t="str">
        <x:v>RW5-RW8</x:v>
      </x:c>
      <x:c r="H14" s="61" t="str">
        <x:v>No clinical or arbitrary-thought claim</x:v>
      </x:c>
      <x:c r="I14" s="61" t="str">
        <x:v>docs/POST_20_ROADMAP.md</x:v>
      </x:c>
    </x:row>
  </x:sheetData>
  <x:mergeCells>
    <x:mergeCell ref="A1:I1"/>
    <x:mergeCell ref="A2:I2"/>
  </x:mergeCells>
  <x:dataValidations count="1">
    <x:dataValidation type="list" sqref="D5:D14">
      <x:formula1>"Done,Active,Blocked,Not Started,Parked"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59dc329a39b41a4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" hidden="0" customWidth="1"/>
    <x:col min="2" max="2" width="24" hidden="0" customWidth="1"/>
    <x:col min="3" max="3" width="32" hidden="0" customWidth="1"/>
    <x:col min="4" max="4" width="13" hidden="0" customWidth="1"/>
    <x:col min="5" max="5" width="42" hidden="0" customWidth="1"/>
    <x:col min="6" max="6" width="42" hidden="0" customWidth="1"/>
    <x:col min="7" max="7" width="52" hidden="0" customWidth="1"/>
    <x:col min="8" max="8" width="56" hidden="0" customWidth="1"/>
    <x:col min="9" max="9" width="38" hidden="0" customWidth="1"/>
    <x:col min="10" max="10" width="54" hidden="0" customWidth="1"/>
    <x:col min="11" max="11" width="31" hidden="0" customWidth="1"/>
    <x:col min="12" max="12" width="46" hidden="0" customWidth="1"/>
    <x:col min="13" max="13" width="38" hidden="0" customWidth="1"/>
    <x:col min="14" max="14" width="23" hidden="0" customWidth="1"/>
    <x:col min="15" max="15" width="15" hidden="0" customWidth="1"/>
    <x:col min="16" max="16" width="46" hidden="0" customWidth="1"/>
  </x:cols>
  <x:sheetData>
    <x:row r="1" ht="34" customHeight="1">
      <x:c r="A1" s="81" t="str">
        <x:v>NeuroDecodeKit Next 20 Loops: 25-44</x:v>
      </x:c>
      <x:c r="B1" s="81"/>
      <x:c r="C1" s="81"/>
      <x:c r="D1" s="81"/>
      <x:c r="E1" s="81"/>
      <x:c r="F1" s="81"/>
      <x:c r="G1" s="81"/>
      <x:c r="H1" s="81"/>
      <x:c r="I1" s="81"/>
      <x:c r="J1" s="81"/>
      <x:c r="K1" s="81"/>
      <x:c r="L1" s="81"/>
      <x:c r="M1" s="81"/>
      <x:c r="N1" s="81"/>
      <x:c r="O1" s="81"/>
      <x:c r="P1" s="81"/>
    </x:row>
    <x:row r="2" ht="61.5" customHeight="1">
      <x:c r="A2" s="86" t="str">
        <x:v>Current gate: Loop 25 amended v1 still awaits its exact decision. Loops 26 and 28-34 have completed planning research while their experiments remain Not Started; Loop 27 selected S25 metadata only. Loop 34 keeps confidence unavailable and requires fresh three-way evidence rather than reusing six real validation rows.</x:v>
      </x:c>
      <x:c r="B2" s="86"/>
      <x:c r="C2" s="86"/>
      <x:c r="D2" s="86"/>
      <x:c r="E2" s="86"/>
      <x:c r="F2" s="86"/>
      <x:c r="G2" s="86"/>
      <x:c r="H2" s="86"/>
      <x:c r="I2" s="86"/>
      <x:c r="J2" s="86"/>
      <x:c r="K2" s="86"/>
      <x:c r="L2" s="86"/>
      <x:c r="M2" s="86"/>
      <x:c r="N2" s="86"/>
      <x:c r="O2" s="86"/>
      <x:c r="P2" s="86"/>
    </x:row>
    <x:row r="3" ht="31.5" customHeight="1">
      <x:c r="A3" s="98" t="str">
        <x:v>20 loops | Loop 25 v1 decision pending | Loops 26 and 28-34 planning research complete / experiments Not Started | Loop 27 S25 metadata selected / preregistration blocked | Loop 34: seven semantics, eight scores/controls, 128/64/256 fresh synthetic partitions, 20 gates, 30 refusals, confidence unavailable | all execution flags false</x:v>
      </x:c>
      <x:c r="B3" s="99"/>
      <x:c r="C3" s="99"/>
      <x:c r="D3" s="99"/>
      <x:c r="E3" s="99"/>
      <x:c r="F3" s="99"/>
      <x:c r="G3" s="99"/>
      <x:c r="H3" s="99"/>
      <x:c r="I3" s="99"/>
      <x:c r="J3" s="99"/>
      <x:c r="K3" s="99"/>
      <x:c r="L3" s="99"/>
      <x:c r="M3" s="99"/>
      <x:c r="N3" s="99"/>
      <x:c r="O3" s="99"/>
      <x:c r="P3" s="100"/>
    </x:row>
    <x:row r="4" ht="44" customHeight="1">
      <x:c r="A4" s="105" t="str">
        <x:v>Loop</x:v>
      </x:c>
      <x:c r="B4" s="105" t="str">
        <x:v>Phase</x:v>
      </x:c>
      <x:c r="C4" s="105" t="str">
        <x:v>Gate</x:v>
      </x:c>
      <x:c r="D4" s="105" t="str">
        <x:v>Priority / Effort</x:v>
      </x:c>
      <x:c r="E4" s="105" t="str">
        <x:v>Core question</x:v>
      </x:c>
      <x:c r="F4" s="105" t="str">
        <x:v>Why high value</x:v>
      </x:c>
      <x:c r="G4" s="105" t="str">
        <x:v>Build + research deliverables</x:v>
      </x:c>
      <x:c r="H4" s="105" t="str">
        <x:v>Data scope + controls</x:v>
      </x:c>
      <x:c r="I4" s="105" t="str">
        <x:v>Primary metrics</x:v>
      </x:c>
      <x:c r="J4" s="105" t="str">
        <x:v>Acceptance + stop rule</x:v>
      </x:c>
      <x:c r="K4" s="105" t="str">
        <x:v>Dependencies</x:v>
      </x:c>
      <x:c r="L4" s="105" t="str">
        <x:v>Authorization boundary</x:v>
      </x:c>
      <x:c r="M4" s="105" t="str">
        <x:v>Resource cap</x:v>
      </x:c>
      <x:c r="N4" s="105" t="str">
        <x:v>Proof posture</x:v>
      </x:c>
      <x:c r="O4" s="105" t="str">
        <x:v>Status</x:v>
      </x:c>
      <x:c r="P4" s="105" t="str">
        <x:v>Primary source URLs</x:v>
      </x:c>
    </x:row>
    <x:row r="5" ht="180" customHeight="1">
      <x:c r="A5" s="125" t="n">
        <x:v>25</x:v>
      </x:c>
      <x:c r="B5" s="128" t="str">
        <x:v>P1 - Causal Evidence</x:v>
      </x:c>
      <x:c r="C5" s="113" t="str">
        <x:v>Causal Preprocessing Audit</x:v>
      </x:c>
      <x:c r="D5" s="134" t="str">
        <x:v>P0 / M</x:v>
      </x:c>
      <x:c r="E5" s="113" t="str">
        <x:v>Can every transform before the causal encoder run incrementally without future samples, evaluation-fit statistics, timestamp drift, or chunk-boundary changes?</x:v>
      </x:c>
      <x:c r="F5" s="113" t="str">
        <x:v>A causal model is not causal if filtering, resampling, padding, or normalization leaks future context; this gate protects every later streaming claim.</x:v>
      </x:c>
      <x:c r="G5" s="113" t="str">
        <x:v>Build: Versioned stateful preprocessing contract with a dedicated causal anti-alias SOS stage, phase-locked decimator, replay harness, transform provenance, and fail-closed refusals.
Research: Pinned Brain2Qwerty-to-NeuralSet-to-MNE source trace plus filter delay, full folding-band, alias-map, resampling jitter, padding, and train-only normalization analysis.</x:v>
      </x:c>
      <x:c r="H5" s="113" t="str">
        <x:v>Data: Target-free synthetic signals first; any later S21 use is restricted to separately authorized source-train rows and may not open source-test or session-2 evidence.
Controls:
- Seven frozen chunk schedules including whole-item, single-sample, decimation-boundary, frame-boundary, powers-of-two, and seeded-irregular splits.
- Six target-free signal families, ten resume cuts, and three future-mutation cuts across physically separate seeds 2501 and 2502.
- A 65,537-point 0-500 Hz response grid, 23 exact alias source probes, and complete 50-500 Hz folding-band attenuation before any fixture array opens.
- Offline noncausal reference reported separately and never substituted for the causal path.</x:v>
      </x:c>
      <x:c r="I5" s="113" t="str">
        <x:v>- right-context samples and milliseconds
- valid-sample and timestamp identity
- maximum offline-stream payload error
- schedule hash agreement
- dedicated and complete-chain folding-band attenuation plus alias destination correctness
- runtime, peak RSS, input bytes, output bytes, and access counts</x:v>
      </x:c>
      <x:c r="J5" s="113" t="str">
        <x:v>Acceptance: Proceed only if the dedicated anti-alias and complete chain pass the full 50-500 Hz folding-band gate before seed access, declared right context is zero, every schedule preserves samples, timestamps, and state, all forbidden counters are zero, and resource caps pass.
Stop: Park with both seeds unopened if the static filter gate fails; otherwise park any transform that needs future samples or cannot preserve timing, and never widen tolerances after observing a protected row.</x:v>
      </x:c>
      <x:c r="K5" s="113" t="str">
        <x:v>Loops: none
External: explicit_loop25_authorization_decision</x:v>
      </x:c>
      <x:c r="L5" s="113" t="str">
        <x:v>Amended at green commit b6b92d8 after the v0 anti-alias scope was superseded before authorization. Await a separate exact decision through docs/LOOP_25_AUTHORIZATION_PACKET_V1.md; the v1 request is false, seeds 2501/2502 are unopened, and coefficients, fixtures, runtime, data/cache/target/model/training access, RW3, streams, devices, and hardware remain unauthorized.</x:v>
      </x:c>
      <x:c r="M5" s="113" t="str">
        <x:v>One thread, one worker, 4 MiB fixtures, 16 MiB working arrays, 8 MiB total generated artifacts, 45 seconds internal runtime, 4 KiB mutable state, and 1 GiB peak RSS.</x:v>
      </x:c>
      <x:c r="N5" s="140" t="str">
        <x:v>amended_preregistered_no_implementation_or_execution</x:v>
      </x:c>
      <x:c r="O5" s="146" t="str">
        <x:v>Review</x:v>
      </x:c>
      <x:c r="P5" s="149" t="str">
        <x:v>https://facebookresearch.github.io/brain2qwerty/assets/brain2qwerty_v2.pdf
https://github.com/facebookresearch/neuroai/blob/v0.2.2/neuralset-repo/neuralset/extractors/neuro.py#L334-L381
https://mne.tools/stable/generated/mne.filter.resample.html
https://docs.scipy.org/doc/scipy-1.14.1/reference/generated/scipy.signal.iirdesign.html</x:v>
      </x:c>
    </x:row>
    <x:row r="6" ht="210" customHeight="1">
      <x:c r="A6" s="126" t="n">
        <x:v>26</x:v>
      </x:c>
      <x:c r="B6" s="129" t="str">
        <x:v>P1 - Causal Evidence</x:v>
      </x:c>
      <x:c r="C6" s="114" t="str">
        <x:v>Real Validation-Only Encoder Gate</x:v>
      </x:c>
      <x:c r="D6" s="135" t="str">
        <x:v>P0 / L</x:v>
      </x:c>
      <x:c r="E6" s="114" t="str">
        <x:v>Does one fixed, small causal encoder show neural information above no-signal and shuffled controls on source validation without touching any test set?</x:v>
      </x:c>
      <x:c r="F6" s="114" t="str">
        <x:v>The project has strong mechanics but no real neural advantage; this is the first gate that can justify continuing the predictive branch.</x:v>
      </x:c>
      <x:c r="G6" s="114" t="str">
        <x:v>Build: Preregistered tiny architecture, train-only fit path, six-row validation report, uncertainty, control parity, and immutable access ledger.
Research: Completed planning-only power and identifiability note: six paired rows yield 64 exact sign assignments, one-person inference only, and no source-test or transfer claim.
Packet: docs/LOOP_26_PRIMARY_SOURCE_RESEARCH.md</x:v>
      </x:c>
      <x:c r="H6" s="114" t="str">
        <x:v>Data: Only separately authorized S21 source-train and source-validation members; five source-test rows and all session-2 rows stay closed.
Controls:
- Same-split train-only no-signal sentence prior and zero-signal inference.
- Semantic-ID-derived train-target derangement frozen before targets open.
- Nonwrapping zero-filled time displacement and channel-name-hash derangements frozen before signal arrays open.
- A 2,884-parameter linear signal CTC matched against the recommended 2,908-parameter causal candidate.</x:v>
      </x:c>
      <x:c r="I6" s="114" t="str">
        <x:v>- macro per-sentence CER and corpus CER
- all six paired item differences and complete 64-assignment exact null
- exact-sequence accuracy, WER, blank fraction, and wins/ties/losses
- margin over every signal-free and corrupted-signal control
- parameter count, runtime, peak RSS, and artifact bytes
- raw, cache, target, model, and training access counts</x:v>
      </x:c>
      <x:c r="J6" s="114" t="str">
        <x:v>Acceptance: A future preregistration may proceed only after Loop 25 closes. A future experiment may proceed only if its frozen primary neural-versus-prior margin and every required control pass on exactly six validation rows with no access violation; this cannot authorize source-test opening.
Stop: If the neural path does not beat the registered controls, park real-model scaling and move to failure analysis without touching test or increasing model size.</x:v>
      </x:c>
      <x:c r="K6" s="114" t="str">
        <x:v>Loops: 25
External: separate_real_cache_and_training_authorization</x:v>
      </x:c>
      <x:c r="L6" s="114" t="str">
        <x:v>Planning research is complete, but no experiment preregistration or authorization sentence exists. Real-cache reads, target access, training, validation opening, model runs, test/session-2 access, and Loop 25 execution are unauthorized now.</x:v>
      </x:c>
      <x:c r="M6" s="114" t="str">
        <x:v>One thread, one worker, at most 2,908 trainable parameters, 32 MiB generated artifacts, 20 minutes total future CPU time across candidate and controls, and 1 GiB peak RSS.</x:v>
      </x:c>
      <x:c r="N6" s="141" t="str">
        <x:v>planned_not_authorized; planning_research_complete</x:v>
      </x:c>
      <x:c r="O6" s="147" t="str">
        <x:v>Not Started</x:v>
      </x:c>
      <x:c r="P6" s="150" t="str">
        <x:v>https://www.nature.com/articles/s41593-026-02303-2.pdf
https://facebookresearch.github.io/brain2qwerty/assets/brain2qwerty_v2.pdf
https://github.com/facebookresearch/brain2qwerty/tree/main/brain2qwerty_v2
https://docs.scipy.org/doc/scipy/reference/generated/scipy.stats.permutation_test.html
https://docs.scipy.org/doc/scipy/reference/generated/scipy.stats.bootstrap.html
https://jmlr.org/beta/papers/v11/ojala10a.html
https://pubmed.ncbi.nlm.nih.gov/28655633/
https://onlinelibrary.wiley.com/doi/10.1111/jtsa.12638</x:v>
      </x:c>
    </x:row>
    <x:row r="7" ht="225" customHeight="1">
      <x:c r="A7" s="126" t="n">
        <x:v>27</x:v>
      </x:c>
      <x:c r="B7" s="129" t="str">
        <x:v>P1 - Causal Evidence</x:v>
      </x:c>
      <x:c r="C7" s="114" t="str">
        <x:v>Fresh Holdout Preregistration</x:v>
      </x:c>
      <x:c r="D7" s="135" t="str">
        <x:v>P0 / M</x:v>
      </x:c>
      <x:c r="E7" s="114" t="str">
        <x:v>Which independent participant, session, or task-matched recording can answer the next claim without recycling S21 session-2 or S7 evidence?</x:v>
      </x:c>
      <x:c r="F7" s="114" t="str">
        <x:v>A fresh, hash-bound test is more valuable than another tuned result on already observed data.</x:v>
      </x:c>
      <x:c r="G7" s="114" t="str">
        <x:v>Build: Metadata-only candidate registry, license and byte ledger, exact file plan, split protocol, target-isolation plan, and one-time analysis contract.
Research: Completed metadata-only selection of S25 session 2 block 2 as a 1,009,939,983-byte MEG candidate, with exact payload identities, official exclusions, unavailable fields, and preregistration blockers.
Packet: docs/LOOP_27_PRIMARY_SOURCE_RESEARCH.md</x:v>
      </x:c>
      <x:c r="H7" s="114" t="str">
        <x:v>Data: Metadata and public documentation only; no download, signal read, target read, or remote row preview.
Controls:
- Independent identity and sentence-membership audit.
- Exact no-signal and shuffle comparators frozen before acquisition.
- One-time test access sequence with physical or cryptographic partition separation.</x:v>
      </x:c>
      <x:c r="I7" s="114" t="str">
        <x:v>- planned files and bytes
- subjects, sessions, trials, and unique sentence groups
- license and redistribution status
- identity-overlap and task-match warnings
- authorized and unavailable access counters</x:v>
      </x:c>
      <x:c r="J7" s="114" t="str">
        <x:v>Acceptance: Approve a future acquisition packet only if independence, task match, licensing, exact byte cap, split power, and one-time decision rule are explicit; otherwise record no eligible holdout.
Stop: Hold acquisition if identity, license, task, timing, or byte provenance is ambiguous; never substitute a convenient consumed cohort.</x:v>
      </x:c>
      <x:c r="K7" s="114" t="str">
        <x:v>Loops: none for metadata research
External: none for metadata research</x:v>
      </x:c>
      <x:c r="L7" s="114" t="str">
        <x:v>Planning research selected S25 metadata only. No preregistration or authorization request exists; download, local log hashing, header/signal/MAT/target access, model/training/final opening, backup substitution, and Loop 28 remain unauthorized.</x:v>
      </x:c>
      <x:c r="M7" s="114" t="str">
        <x:v>Zero downloaded bytes, zero signal reads, one thread, one worker, 8 MiB planning artifacts, and 10 minutes local metadata processing.</x:v>
      </x:c>
      <x:c r="N7" s="141" t="str">
        <x:v>planned_not_authorized; planning_research_complete; candidate=spanishbcbl-meg-s25-session2-block2-v0</x:v>
      </x:c>
      <x:c r="O7" s="147" t="str">
        <x:v>Not Started</x:v>
      </x:c>
      <x:c r="P7" s="150" t="str">
        <x:v>https://www.nature.com/articles/s41593-026-02303-2.pdf
https://facebookresearch.github.io/brain2qwerty/assets/brain2qwerty_v2.pdf
https://arxiv.org/abs/1803.09010</x:v>
      </x:c>
    </x:row>
    <x:row r="8" ht="138" customHeight="1">
      <x:c r="A8" s="126" t="n">
        <x:v>28</x:v>
      </x:c>
      <x:c r="B8" s="129" t="str">
        <x:v>P1 - Causal Evidence</x:v>
      </x:c>
      <x:c r="C8" s="114" t="str">
        <x:v>Session And Person Transfer</x:v>
      </x:c>
      <x:c r="D8" s="135" t="str">
        <x:v>P0 / L</x:v>
      </x:c>
      <x:c r="E8" s="114" t="str">
        <x:v>Does the frozen causal system transfer to one genuinely unseen canonical person without fitting anything to that person?</x:v>
      </x:c>
      <x:c r="F8" s="114" t="str">
        <x:v>The existing same-person cross-session result is negative, and Brain2Qwerty v2 target-participant finetuning is calibrated rather than strict zero-shot; a fresh one-time T2 test is required before any person-transfer claim can move.</x:v>
      </x:c>
      <x:c r="G8" s="114" t="str">
        <x:v>Build: Future frozen source-model one-time holdout runner with a source-train-only prior, corruption controls, hash-frozen predictions, and a claim-specific report card. Calibrated adaptation stays physically separate.
Research: Completed T0-T3 taxonomy, strict zero-shot versus transductive boundary, and one-time S25 final-only rule.
Packet: docs/LOOP_28_PRIMARY_SOURCE_RESEARCH.md</x:v>
      </x:c>
      <x:c r="H8" s="114" t="str">
        <x:v>Data: Planning research only. A future T2 test may use only a separately acquired and authorized Loop 27 S25 final-only holdout. S25 contributes zero train, validation, calibration, target-wide normalization, subject-embedding, adapter, threshold, or unlabeled-corpus-fit rows.
Controls:
- Source-train-only no-signal prior.
- Same checkpoint with exact-zero S25 signal.
- Frozen channel-name-hash derangement.
- Frozen nonwrapping zero-filled time displacement.
- Identity and sentence-overlap audit without plaintext or row cherry-picking.</x:v>
      </x:c>
      <x:c r="I8" s="114" t="str">
        <x:v>- macro sentence-CER prior-minus-model effect with a 0.05 practical floor
- one-sided paired p-value from 65,535 frozen assignments plus observed
- corpus CER, WER where justified, exact sequence accuracy, wins/ties/losses
- strict candidate-versus-corruption controls
- identity, overlap, runtime, RSS, bytes, and access counters</x:v>
      </x:c>
      <x:c r="J8" s="114" t="str">
        <x:v>Acceptance: Support T2 only for this one S25 person/session/task when at least 48 unique final rows remain, macro CER improves by at least 0.05 over the frozen prior, paired p is at most 0.05, every corruption control is strictly worse, and all identity, hash, access, and resource gates pass.
Stop: Any missing field, tie, threshold miss, control failure, access violation, or cap failure parks T2. Do not tune, calibrate, restart, substitute a backup, or relabel calibrated/transductive performance as zero-shot.</x:v>
      </x:c>
      <x:c r="K8" s="114" t="str">
        <x:v>Loops: 25, 26, 27
External: approved_fresh_holdout_packet, separate_one_time_test_authorization</x:v>
      </x:c>
      <x:c r="L8" s="114" t="str">
        <x:v>Planning research only. No preregistration or authorization sentence exists; acquisition, local MAT hashing, header/signal/target access, model/control prediction, calibration, final opening, language model, backup, and device work remain unauthorized.</x:v>
      </x:c>
      <x:c r="M8" s="114" t="str">
        <x:v>Current research: zero payload bytes, one thread/worker, 8 MiB planning-artifact cap. Future T2: frozen Loop 26 checkpoint only, zero target-person updates and language-model runs, one thread/worker, 32 MiB output cap, 1 GiB RSS; runtime cap awaits measured Loop 26 evidence.</x:v>
      </x:c>
      <x:c r="N8" s="141" t="str">
        <x:v>planned_not_authorized; planning_research_complete; selected_claim=T2_strict_zero_shot; candidate=spanishbcbl-meg-s25-session2-block2-v0</x:v>
      </x:c>
      <x:c r="O8" s="147" t="str">
        <x:v>Not Started</x:v>
      </x:c>
      <x:c r="P8" s="150" t="str">
        <x:v>https://facebookresearch.github.io/brain2qwerty/assets/brain2qwerty_v2.pdf
https://github.com/facebookresearch/brain2qwerty/tree/3bf5a4099ca0d23bbe994b2287905760236e56e0/brain2qwerty_v2
https://arxiv.org/abs/1404.4175
https://arxiv.org/abs/1805.06427
https://pubmed.ncbi.nlm.nih.gov/27989847/
https://www.jmlr.org/papers/v11/ojala10a.html</x:v>
      </x:c>
    </x:row>
    <x:row r="9" ht="168" customHeight="1">
      <x:c r="A9" s="126" t="n">
        <x:v>29</x:v>
      </x:c>
      <x:c r="B9" s="129" t="str">
        <x:v>P2 - Translation And Generalization</x:v>
      </x:c>
      <x:c r="C9" s="114" t="str">
        <x:v>Portable Sensing Translation</x:v>
      </x:c>
      <x:c r="D9" s="135" t="str">
        <x:v>P1 / M</x:v>
      </x:c>
      <x:c r="E9" s="114" t="str">
        <x:v>Which Brain2Qwerty requirements survive translation from cryogenic MEG to OPM-MEG or scalp EEG, which assumptions break, and what is the smallest honest real-data path toward an at-home result?</x:v>
      </x:c>
      <x:c r="F9" s="114" t="str">
        <x:v>Accessible sensing is the product direction, but channel-count ablation, vendor specifications, and home recording mechanics are not device qualification or text decoding.</x:v>
      </x:c>
      <x:c r="G9" s="114" t="str">
        <x:v>Build: Future device-specific implementation of the versioned 15-field modality matrix, six-level qualification ladder, and fail-closed packet validator; no runtime exists now.
Research: Completed primary-source OPM-MEG and EEG review, two-lane decision, storage envelope, and exact S20/S25 result-oriented path.
Packet: docs/LOOP_29_PRIMARY_SOURCE_RESEARCH.md</x:v>
      </x:c>
      <x:c r="H9" s="114" t="str">
        <x:v>Data: Public specifications and aggregate evidence only; zero downloads. A future first real-data result may use only the separately approved 96,090,264-byte S20 packet; S25 remains final-only at 1,009,939,983 bytes.
Controls:
- Separate cryogenic MEG, OPM-MEG, scalp EEG, and non-neural profiles.
- Distinguish measured values, official specifications, inferences, and unavailable fields.
- Exclude cryogenic random channel subsets as OPM-MEG or EEG evidence.
- Keep S20, S25, and any future device recording as separate cohorts and decisions.</x:v>
      </x:c>
      <x:c r="I9" s="114" t="str">
        <x:v>- requirement coverage and unavailable-field count
- units, reference, geometry, filters, rate, clocks, packets, and privacy provenance
- measured versus specified versus unavailable status
- minimum future qualification level
- preferred and absolute storage margin after exact bundles
- protected access and authorization counters</x:v>
      </x:c>
      <x:c r="J9" s="114" t="str">
        <x:v>Acceptance: Proceed to a device-specific packet only when one exact configuration has measurable task, units, filters, reference, geometry, clocks, packets, locality, privacy, repeated-session, peripheral-control, license, and resource requirements.
Stop: Do not call a simulated subset, vendor specification, file read, home-recording study, or S20 research EEG result portable decoding; do not spend unused storage without a measured question.</x:v>
      </x:c>
      <x:c r="K9" s="114" t="str">
        <x:v>Loops: 27
External: none for planning; separate exact device or acquisition authorization for execution</x:v>
      </x:c>
      <x:c r="L9" s="114" t="str">
        <x:v>Planning research only. The 5-10 GB envelope is capacity permission, not download permission. S20, S25, real/header/signal/target/model/training access, SDKs, streams, purchases, partner sessions, devices, and hardware each require separate authorization.</x:v>
      </x:c>
      <x:c r="M9" s="114" t="str">
        <x:v>Current research: zero hardware sessions and downloads, one thread, one worker, and 8 MiB planning artifacts. Future storage: 5,000,000,000 preferred and 10,000,000,000 absolute incremental bytes, with no automatic allocation.</x:v>
      </x:c>
      <x:c r="N9" s="141" t="str">
        <x:v>planned_not_authorized; planning_research_complete; selected_lanes=scalp_EEG_local_first|OPM_MEG_partner_lab</x:v>
      </x:c>
      <x:c r="O9" s="147" t="str">
        <x:v>Not Started</x:v>
      </x:c>
      <x:c r="P9" s="150" t="str">
        <x:v>https://facebookresearch.github.io/brain2qwerty/assets/brain2qwerty_v2.pdf
https://www.nature.com/articles/s41593-026-02303-2
https://www.sciencedirect.com/science/article/pii/S1053811921002469
https://pubmed.ncbi.nlm.nih.gov/39302788/
https://pubmed.ncbi.nlm.nih.gov/34273527/
https://pmc.ncbi.nlm.nih.gov/articles/PMC8356471/
https://mne.tools/stable/auto_tutorials/preprocessing/80_opm_processing.html
https://pmc.ncbi.nlm.nih.gov/articles/PMC9372279/
https://pmc.ncbi.nlm.nih.gov/articles/PMC12480468/
https://bids-specification.readthedocs.io/en/stable/modality-specific-files/electroencephalography.html
https://docs.openbci.com/Cyton/CytonDataFormat/
https://brainflow.readthedocs.io/en/stable/DataFormatDesc.html</x:v>
      </x:c>
    </x:row>
    <x:row r="10" ht="176" customHeight="1">
      <x:c r="A10" s="126" t="n">
        <x:v>30</x:v>
      </x:c>
      <x:c r="B10" s="129" t="str">
        <x:v>P2 - Translation And Generalization</x:v>
      </x:c>
      <x:c r="C10" s="114" t="str">
        <x:v>Local Private Streaming Prototype</x:v>
      </x:c>
      <x:c r="D10" s="135" t="str">
        <x:v>P1 / M</x:v>
      </x:c>
      <x:c r="E10" s="114" t="str">
        <x:v>Can a user inspect incremental hypotheses, revisions, timing, provenance, and refusals locally without confusing replay with live decoding?</x:v>
      </x:c>
      <x:c r="F10" s="114" t="str">
        <x:v>A trustworthy interaction surface must expose revision, finalization, latency, uncertainty, and proof posture. Loop 23 showed that a stable zero-revision partial can still be wrong, while Brain2Qwerty v2 remains whole-sentence and noncausal.</x:v>
      </x:c>
      <x:c r="G10" s="114" t="str">
        <x:v>Build: Future loopback-only target-free replay inspector with explicit partial hypotheses, revisions, finalization, nine clock domains, six latency levels, resources, warnings, hashes, proof posture, and browser QA.
Research: Completed four-source-mode taxonomy, 30-field target-free trace, fixed localhost/file/network/accessibility contract, 18 future gates, and 30 refusals.</x:v>
      </x:c>
      <x:c r="H10" s="114" t="str">
        <x:v>Data: Planning research used public primary sources and committed aggregate/mechanics documentation only. A future run may create one new target-free synthetic trace after separate authorization; consumed Loop 23/24 artifacts, S7/S21, targets, models, sockets, streams, and hardware remain closed.
Controls:
- Source, proof posture, producer/decoder causality, unavailable confidence, and no-signal comparator remain visible.
- Explicit revision and finalization; stability is not correctness or confidence.
- Nine clock origins; no unmapped cross-clock subtraction.
- Fixed 127.0.0.1, share/analytics/monitoring/upload off, one thread/worker, zero non-loopback traffic.
- Status/log semantics, keyboard access, stable focus, no forced scroll, reduced motion.</x:v>
      </x:c>
      <x:c r="I10" s="114" t="str">
        <x:v>- first partial, first committed token, and finalization by available clock domain
- revision count, edit overhead, committed prefix, and stable duration
- browser long tasks, Event Timing support, console and render QA
- runtime, peak RSS, input and output bytes
- network, WebSocket, raw, cache, consumed, target, model, training, calibration, stream, SDK, and hardware counters
- source/config/trace/payload hashes and unavailable fields</x:v>
      </x:c>
      <x:c r="J10" s="114" t="str">
        <x:v>Acceptance: Future execution passes only when all 18 gates and 30 refusals pass, all labels and clock origins remain visible, browser QA records zero non-loopback traffic and zero 50-ms long tasks, and all resource/access caps pass.
Stop: Park on target or consumed-artifact contribution, inferred finalization, fabricated confidence, cross-clock subtraction, external bind/request/WebSocket, file exposure, accessibility failure, missing label/counter/hash/warning, cap failure, or any implication of live neural or end-to-end real-time decoding.</x:v>
      </x:c>
      <x:c r="K10" s="114" t="str">
        <x:v>Loops: 25
External: none</x:v>
      </x:c>
      <x:c r="L10" s="114" t="str">
        <x:v>Planning research only. No seed, trace, fixture, UI, server, browser run, model, real/consumed data read, socket, stream, SDK, device, or hardware operation is authorized. A future Loop 30 decision can cover only the bounded synthetic replay inspector and cannot authorize RW3 or a live source.</x:v>
      </x:c>
      <x:c r="M10" s="114" t="str">
        <x:v>Current research: one thread/worker, zero payload/server/browser operations, 8 MiB planning cap. Future: loopback only, one thread/worker, 32 MiB generated artifacts, 1 GiB peak RSS, zero external network dependency.</x:v>
      </x:c>
      <x:c r="N10" s="141" t="str">
        <x:v>planned_not_authorized; planning_research_complete; target_free_replay_only</x:v>
      </x:c>
      <x:c r="O10" s="147" t="str">
        <x:v>Not Started</x:v>
      </x:c>
      <x:c r="P10" s="150" t="str">
        <x:v>https://facebookresearch.github.io/brain2qwerty/assets/brain2qwerty_v2.pdf
https://labstreaminglayer.readthedocs.io/info/time_synchronization.html
https://www.gradio.app/main/docs/gradio/blocks
https://www.gradio.app/main/guides/file-access
https://docs.python.org/3.12/library/time.html#time.perf_counter_ns
https://www.w3.org/TR/2026/WD-hr-time-3-20260225/
https://www.w3.org/TR/longtasks-1/
https://www.w3.org/TR/2026/WD-event-timing-20260223/
https://www.w3.org/WAI/WCAG22/Understanding/status-messages
https://playwright.dev/docs/network
https://arxiv.org/abs/2006.01416
https://arxiv.org/abs/2302.12049</x:v>
      </x:c>
    </x:row>
    <x:row r="11" ht="196" customHeight="1">
      <x:c r="A11" s="126" t="n">
        <x:v>31</x:v>
      </x:c>
      <x:c r="B11" s="129" t="str">
        <x:v>P2 - Translation And Generalization</x:v>
      </x:c>
      <x:c r="C11" s="114" t="str">
        <x:v>Neural Contribution Ablation</x:v>
      </x:c>
      <x:c r="D11" s="135" t="str">
        <x:v>P0 / L</x:v>
      </x:c>
      <x:c r="E11" s="114" t="str">
        <x:v>When a predictive system improves, how much comes from sensor signal rather than language priors, timing, declared context, broken correspondence, or pipeline artifacts?</x:v>
      </x:c>
      <x:c r="F11" s="114" t="str">
        <x:v>A fluent prediction is not an attribution result. The consumed S21 MEG and S7 EEG paths both lose to no-signal priors, so any future improvement must survive signal-free, corrupted-signal, timing, context, and language controls before it can be credited to the sensor input.</x:v>
      </x:c>
      <x:c r="G11" s="114" t="str">
        <x:v>Build: Future hash-bound 10-condition encoder matrix plus a separately gated 5-condition LLM/Neuro Token extension.
Research: Completed estimands, exact six-row intersection-union inference, target-blind freeze order, six claim classes, 18 future gates, 24 refusals, and a Loop 35 ceiling on brain-specific attribution.</x:v>
      </x:c>
      <x:c r="H11" s="114" t="str">
        <x:v>Data: Planning research used public primary sources and committed aggregate reports only. Future execution may use one separately authorized source-validation open after target-blind prediction freeze; consumed source test, session 2, S7, S20, and S25 remain closed.
Controls:
- Full signal; train-only prior; zero signal; item, channel, and time derangements; timing-only; conditional context-only; train-pairing derangement.
- 2,884-parameter linear signal CTC as a diagnostic.
- All transforms and predictions frozen before targets.
- Encoder, language, Neuro Token, total-system, and brain-specific effects separate.
- Loop 35 required for brain-specific origin.</x:v>
      </x:c>
      <x:c r="I11" s="114" t="str">
        <x:v>- macro sentence control-minus-full CER for every applicable condition
- exact one-sided paired components and intersection-union decision
- primary practical margin
- language-prior and conditional Neuro Token gains
- per-item edits and wins/ties/losses; WER where valid
- condition-specific access, model, training, runtime, RSS, bytes, warnings, unavailable fields, and hashes</x:v>
      </x:c>
      <x:c r="J11" s="114" t="str">
        <x:v>Acceptance: A future result may support sensor-signal dependence only when every applicable condition, exact six-item component, primary margin, target-blind freeze order, ledger, hash, and resource gate passes.
Stop: Park on a tie or failed/missing control, target-informed transform, hidden timing/context, target open before predictions, restart or threshold change, missing ledger/hash, resource failure, or any promotion to brain-specific attribution before Loop 35.</x:v>
      </x:c>
      <x:c r="K11" s="114" t="str">
        <x:v>Loops: 26
External: separate validation/model authorization; Loop 35 for brain-specific claim</x:v>
      </x:c>
      <x:c r="L11" s="114" t="str">
        <x:v>Planning research only. No cache, target, checkpoint, model, training, validation, LLM, Neuro Token, S20, S25, stream, device, or hardware operation is authorized. The experiment remains Not Started.</x:v>
      </x:c>
      <x:c r="M11" s="114" t="str">
        <x:v>Current: one thread/worker, zero protected/model downloads, 8 MiB planning cap. Future: one thread/worker, 2,908 parameters, 1,200 sec training, 32 MiB artifacts, 1 GiB RSS, zero new data/model downloads.</x:v>
      </x:c>
      <x:c r="N11" s="141" t="str">
        <x:v>planned_not_authorized; planning_research_complete; sensor_signal_ceiling; loop35_required_for_brain_specific</x:v>
      </x:c>
      <x:c r="O11" s="147" t="str">
        <x:v>Not Started</x:v>
      </x:c>
      <x:c r="P11" s="150" t="str">
        <x:v>https://www.nature.com/articles/s41593-026-02303-2
https://facebookresearch.github.io/brain2qwerty/assets/brain2qwerty_v2.pdf
https://github.com/facebookresearch/brain2qwerty/tree/3bf5a4099ca0d23bbe994b2287905760236e56e0/brain2qwerty_v2
https://www.jmlr.org/papers/v11/ojala10a.html
https://arxiv.org/abs/1703.06670
https://doi.org/10.1016/j.neuroimage.2018.09.074
https://doi.org/10.1214/ss/1032280304
https://docs.scipy.org/doc/scipy/reference/generated/scipy.stats.permutation_test.html
https://pubmed.ncbi.nlm.nih.gov/28655633/</x:v>
      </x:c>
    </x:row>
    <x:row r="12" ht="216" customHeight="1">
      <x:c r="A12" s="126" t="n">
        <x:v>32</x:v>
      </x:c>
      <x:c r="B12" s="129" t="str">
        <x:v>P2 - Translation And Generalization</x:v>
      </x:c>
      <x:c r="C12" s="114" t="str">
        <x:v>New-Subject Calibration And Adaptation</x:v>
      </x:c>
      <x:c r="D12" s="135" t="str">
        <x:v>P1 / L</x:v>
      </x:c>
      <x:c r="E12" s="114" t="str">
        <x:v>What is the smallest honest calibration budget that improves one fresh person without using final rows for fitting, normalization, model selection, stopping, or thresholding?</x:v>
      </x:c>
      <x:c r="F12" s="114" t="str">
        <x:v>Participant variability is central, but calibration information must be counted honestly. Strict zero-shot, unlabeled transductive, label-light, and supervised transfer are different claims; selection labels are supervision, and one calibrated person is not population evidence.</x:v>
      </x:c>
      <x:c r="G12" s="114" t="str">
        <x:v>Build: Future pointwise causal hidden affine adapter with 16 scales plus 16 biases over a frozen 2,908-parameter source model.
Research: Completed four-mode taxonomy, nested 0/2/4/8/16/32 sentence schedule, physical split and human-burden contracts, zero-shot-before-calibration access order, six conditions, seven claim classes, 20 gates, and 26 refusals.</x:v>
      </x:c>
      <x:c r="H12" s="114" t="str">
        <x:v>Data: Planning used public sources and committed metadata only. A future candidate needs physically distinct, row- and semantic-text-disjoint recordings with at least 32 calibration, 16 selection, and 48 final unique completed sentences. S25 block 2 remains final-only and ineligible.
Controls:
- frozen strict zero-shot
- exact identity adapter
- selected 32-parameter adapter
- source-train-only no-signal prior
- robust normalization-only
- same-budget label derangement for labeled modes</x:v>
      </x:c>
      <x:c r="I12" s="114" t="str">
        <x:v>- macro sentence CER gain versus zero-shot and prior
- gain per item, active second, total minute, and label
- 65,535 random sign assignments plus observed
- practical margins and strict control wins
- no-harm items, wins/ties/losses, selection-to-final generalization
- burden, runtime, RSS, bytes, updates, warnings, unavailable fields, and hashes</x:v>
      </x:c>
      <x:c r="J12" s="114" t="str">
        <x:v>Acceptance: Freeze zero-shot final predictions before any target-person calibration access; freeze one mode, adapter, and budget before adapted final predictions; open final targets once; pass recommended 0.05 macro-CER gains versus zero-shot and prior, paired p&lt;=0.05 gates, and strict applicable-control wins.
Stop: Park on a tie, final harm, split/text/hash/access/privacy/resource failure, hidden labels, multi-mode best-of selection, or any calibrated-as-zero-shot/population/brain-specific overclaim. Margins remain unfrozen until preregistration.</x:v>
      </x:c>
      <x:c r="K12" s="114" t="str">
        <x:v>Loops: 25, 26, 28, 31
External: approved fresh-person protocol; separate candidate preregistration and exact authorization; Loop 35 for brain-specific wording</x:v>
      </x:c>
      <x:c r="L12" s="114" t="str">
        <x:v>Planning research only. Experiment Not Started. No candidate or mode is selected. Participant/cache/signal/label/target access, checkpoint/model/control runs, adapter fitting, parameter updates, training, final evaluation, S20/S25 access, consumed-evidence reopen, downloads, streams, devices, and hardware are unauthorized.</x:v>
      </x:c>
      <x:c r="M12" s="114" t="str">
        <x:v>Current: one thread/worker, 6 public network operations, zero protected bytes, 8 MiB planning cap. Future: one thread/worker, 2,908 frozen base plus at most 32 trainable values, 1,200 sec adapter fits, 1 GiB RSS, 32 MiB artifacts, zero new data/model downloads before separate authorization.</x:v>
      </x:c>
      <x:c r="N12" s="141" t="str">
        <x:v>planned_not_authorized; planning_research_complete; four_modes; 32_parameter_ceiling; no_candidate; S25_final_only</x:v>
      </x:c>
      <x:c r="O12" s="147" t="str">
        <x:v>Not Started</x:v>
      </x:c>
      <x:c r="P12" s="150" t="str">
        <x:v>https://facebookresearch.github.io/brain2qwerty/assets/brain2qwerty_v2.pdf
https://github.com/facebookresearch/brain2qwerty/tree/3bf5a4099ca0d23bbe994b2287905760236e56e0/brain2qwerty_v2
https://ojs.aaai.org/index.php/AAAI/article/view/10306
https://pubmed.ncbi.nlm.nih.gov/31034407/
https://pmc.ncbi.nlm.nih.gov/articles/PMC10790953/
https://pubmed.ncbi.nlm.nih.gov/27989847/</x:v>
      </x:c>
    </x:row>
    <x:row r="13" ht="138" customHeight="1">
      <x:c r="A13" s="126" t="n">
        <x:v>33</x:v>
      </x:c>
      <x:c r="B13" s="129" t="str">
        <x:v>P3 - Reliability And Confounds</x:v>
      </x:c>
      <x:c r="C13" s="114" t="str">
        <x:v>Data Scaling And Sample Efficiency</x:v>
      </x:c>
      <x:c r="D13" s="135" t="str">
        <x:v>P1 / L</x:v>
      </x:c>
      <x:c r="E13" s="114" t="str">
        <x:v>Within the existing 55 source-train sentence instances, does additional unique training data improve one fixed tiny causal encoder, and is its observed upper boundary still improving enough to justify a separate future acquisition decision?</x:v>
      </x:c>
      <x:c r="F13" s="114" t="str">
        <x:v>A prospective bounded curve can guide whether another metadata-only acquisition packet is worth preparing without guessing, reopening consumed evidence, or transferring Brain2Qwerty v2's 90-hour scaling exponent.</x:v>
      </x:c>
      <x:c r="G13" s="114" t="str">
        <x:v>Build: Future target-blind runner over strictly nested 8/16/24/32/44/55 unique-sentence prefixes, at most three seeds and 18 candidate fits, one fixed 2,908-parameter encoder, matched priors, and complete access/resource/hash ledgers.
Research: Completed shared-validation access order, unique-versus-physical-repetition firewall, descriptive trend rules, seven outcomes, seven claims, 20 gates, and 30 refusals.</x:v>
      </x:c>
      <x:c r="H13" s="114" t="str">
        <x:v>Data: Planning used public primary sources and committed metadata only. Future execution may use separately authorized 55 source-train and six reserved validation rows; source test, session 2, S7, S20, S25, new data, and physical repetitions remain closed.
Controls:
- Strict target-blind nested prefixes; 55 is the complete source train.
- Fixed person/session/device/channels/rate/model/optimizer/stopping/decode/metrics.
- Size-matched train-only no-signal prior at every prefix.
- Every Loop 26/31/33 prediction hash-frozen before one six-target open.
- Distinct recordings required for any physical-repetition claim.</x:v>
      </x:c>
      <x:c r="I13" s="114" t="str">
        <x:v>- macro sentence CER by item, seed, prefix, and matched prior
- descriptive slope versus log2 unique sentences and every adjacent delta
- smallest-band to upper-band and upper-band-over-prior practical gains
- unique sentences, physical trials, valid seconds/minutes, bytes, runtime, RSS, and artifacts
- exact access, warning, unavailable-field, and hash ledgers</x:v>
      </x:c>
      <x:c r="J13" s="114" t="str">
        <x:v>Acceptance: Freeze Loop 33 before any validation target opens; hash-freeze all predictions before one target open; require negative slopes for every registered seed, recommended 0.05 smallest-to-upper and upper-over-prior gains, Loop 31 attribution for sensor wording, and all 20 gates.
Stop: Park on a lost access order, full-size prior failure, unstable trend, target-informed prefix, fake physical repetition, cap/ledger/hash failure, or post-target restart. Never infer a universal law, saturation beyond 55, acquisition value, population behavior, energy, real-time, portable, at-home, assistive, diagnostic, or clinical performance.</x:v>
      </x:c>
      <x:c r="K13" s="114" t="str">
        <x:v>Loops: 26, 31
External: shared Loop 26/33 preregistration before validation target open; separate bounded training and one-time validation authorization</x:v>
      </x:c>
      <x:c r="L13" s="114" t="str">
        <x:v>Planning research only. Experiment Not Started. No protected cache/signal/target read, checkpoint/model/control run, training, parameter update, prediction, validation score, physical-repetition study, acquisition, download, S20/S25, stream, device, or hardware operation is authorized.</x:v>
      </x:c>
      <x:c r="M13" s="114" t="str">
        <x:v>Current: one thread/worker, 6 public web operations, zero protected bytes, 8 MiB planning cap. Future: one thread/worker, 2,908 parameters, at most 18 candidate fits, 1,200 sec total training, 1 GiB RSS, 32 MiB artifacts, zero new downloads, and no energy claim without direct measurement.</x:v>
      </x:c>
      <x:c r="N13" s="141" t="str">
        <x:v>planned_not_authorized; planning_research_complete; prefixes=8|16|24|32|44|55; shared_validation_prospective; no_repetition_lane; no_acquisition</x:v>
      </x:c>
      <x:c r="O13" s="147" t="str">
        <x:v>Not Started</x:v>
      </x:c>
      <x:c r="P13" s="150" t="str">
        <x:v>https://facebookresearch.github.io/brain2qwerty/assets/brain2qwerty_v2.pdf
https://arxiv.org/abs/2501.15322
https://arxiv.org/abs/2407.07595
https://pubmed.ncbi.nlm.nih.gov/22336388/
https://pubmed.ncbi.nlm.nih.gov/28655633/</x:v>
      </x:c>
    </x:row>
    <x:row r="14" ht="138" customHeight="1">
      <x:c r="A14" s="126" t="n">
        <x:v>34</x:v>
      </x:c>
      <x:c r="B14" s="129" t="str">
        <x:v>P3 - Reliability And Confounds</x:v>
      </x:c>
      <x:c r="C14" s="114" t="str">
        <x:v>Confidence, Abstention, And Revision</x:v>
      </x:c>
      <x:c r="D14" s="135" t="str">
        <x:v>P1 / M</x:v>
      </x:c>
      <x:c r="E14" s="114" t="str">
        <x:v>Can a target-blind score rank sequence errors, support a preregistered abstention rule on an independent partition, and keep revision stability separate from calibrated correctness?</x:v>
      </x:c>
      <x:c r="F14" s="114" t="str">
        <x:v>A decoder that can refuse usefully is safer than one that always emits fluent text, but raw scores, probability calibration, selective risk, revision stability, and product-visible confidence are different claims.</x:v>
      </x:c>
      <x:c r="G14" s="114" t="str">
        <x:v>Build: Future seven-level confidence contract, eight score/control roles, full working-point and generalized-risk report, abstention/revision policy, probability diagnostics, and explicit unavailable state.
Research: Completed selective-prediction, conformal-risk, calibration, ECE, generalized-risk, small-sample, leakage, and latency boundary with eight outcomes, seven claims, 20 gates, and 30 refusals.</x:v>
      </x:c>
      <x:c r="H14" s="114" t="str">
        <x:v>Data: Recommend fresh target-free synthetic calibration/selection/final counts of 128/64/256 grouped by generation block and schedule. The six real source-validation rows remain reserved for Loops 26/31/33 and cannot fit and independently qualify confidence.
Controls:
- normalized log score, entropy, margin, and prefix stability candidates
- train-only prior, fixed-random, always-predict, and unreachable post-hoc oracle roles
- exactly one score/policy selected on selection only
- all mappings, thresholds, predictions, and hashes frozen before one final open
- no real, consumed, or current-item target leakage</x:v>
      </x:c>
      <x:c r="I14" s="114" t="str">
        <x:v>- exact-sequence 0/1 error as primary bounded loss; raw CER separately
- full risk-coverage table and accepted/generalized error at registered coverage
- legacy AURC with limitations plus AUGRC-equivalent area
- Brier/log loss/reliability only for calibrated probabilities; ECE secondary
- abstention, revisions, first-output/stability/finalization/added-delay times
- exact access, warning, unavailable-field, resource, and hash ledgers</x:v>
      </x:c>
      <x:c r="J14" s="114" t="str">
        <x:v>Acceptance: Pass all 20 gates with disjoint groups, target-blind generation, one selected score and policy, one final open, ranking above prior/random controls, useful minimum coverage, bounded conformal loss, named dependence assumptions, and complete ledgers.
Stop: Publish unavailable on insufficient evidence, leakage, no ranking, below-floor coverage, unbounded loss, omitted dependence, post-final change, resource failure, or synthetic-to-real transfer. Never call stability correctness or raw score probability.</x:v>
      </x:c>
      <x:c r="K14" s="114" t="str">
        <x:v>Loops: 30, 31
External: separate synthetic confidence preregistration and exact authorization; fresh physical calibration/selection/final evidence for any real claim</x:v>
      </x:c>
      <x:c r="L14" s="114" t="str">
        <x:v>Planning research only. Experiment Not Started. Confidence unavailable. No fixture generation, confidence feature, mapping or threshold fit, model inference, target open, scoring, product-visible confidence, real/consumed data access, download, S20/S25, stream, device, or hardware operation is authorized.</x:v>
      </x:c>
      <x:c r="M14" s="114" t="str">
        <x:v>Current: one thread/worker, 5 public web operations, zero protected bytes, 8 MiB planning cap. Future: one thread/worker, zero decoder training, at most 6 scalar mapping fits, 120 sec runtime, 1 GiB RSS, 16 MiB artifacts, zero downloads, and no energy claim without direct measurement.</x:v>
      </x:c>
      <x:c r="N14" s="141" t="str">
        <x:v>planning_research_complete_no_confidence_fit_or_result_unauthorized; confidence_unavailable; semantics=7; score_controls=8; partitions=128|64|256; no_existing_real_confidence_partition</x:v>
      </x:c>
      <x:c r="O14" s="147" t="str">
        <x:v>Not Started</x:v>
      </x:c>
      <x:c r="P14" s="150" t="str">
        <x:v>https://papers.neurips.cc/paper_files/paper/2017/hash/4a8423d5e91fda00bb7e46540e2b0cf1-Abstract.html
https://research.google/pubs/conformal-risk-control/
https://arxiv.org/abs/2202.13415
https://proceedings.mlr.press/v70/guo17a.html
https://arxiv.org/abs/1904.01685
https://arxiv.org/abs/2407.01032</x:v>
      </x:c>
    </x:row>
    <x:row r="15" ht="138" customHeight="1">
      <x:c r="A15" s="126" t="n">
        <x:v>35</x:v>
      </x:c>
      <x:c r="B15" s="129" t="str">
        <x:v>P3 - Reliability And Confounds</x:v>
      </x:c>
      <x:c r="C15" s="114" t="str">
        <x:v>Peripheral Confound Firewall</x:v>
      </x:c>
      <x:c r="D15" s="135" t="str">
        <x:v>P0 / L</x:v>
      </x:c>
      <x:c r="E15" s="114" t="str">
        <x:v>Is apparent decoding driven by brain signal, or by keystroke timing, muscle, eye, motion, audio, or prompt leakage?</x:v>
      </x:c>
      <x:c r="F15" s="114" t="str">
        <x:v>Prompted typing strongly recruits motor systems, so a positive score is not enough to establish neural specificity.</x:v>
      </x:c>
      <x:c r="G15" s="114" t="str">
        <x:v>Build: Confound registry, synchronized brain-only/peripheral-only/combined protocol, shortcut audits, and claim-blocking report fields.
Research: Primary-source confound taxonomy for prompted typing and future no-keypress translation.</x:v>
      </x:c>
      <x:c r="H15" s="114" t="str">
        <x:v>Data: Protocol and synthetic timing fixtures first; real multimodal collection requires separate consent, retention, device, and acquisition authorization.
Controls:
- Keystroke timing and key identity without neural samples.
- Peripheral-only channels including EOG, EMG, motion, microphone, or hand tracking when actually recorded.
- Brain-only channels with synchronized event structure.
- Time-shift, channel-drop, and event-jitter controls.</x:v>
      </x:c>
      <x:c r="I15" s="114" t="str">
        <x:v>- brain-only, peripheral-only, combined, and timing-only performance
- incremental neural contribution
- shortcut detection rate
- clock and event alignment residuals
- unavailable modality count</x:v>
      </x:c>
      <x:c r="J15" s="114" t="str">
        <x:v>Acceptance: A brain-specific claim requires brain-only performance above all preregistered non-brain controls and a positive incremental contribution over the strongest peripheral condition.
Stop: If peripheral or timing controls explain the result, relabel it as task/peripheral decoding and block a neural claim.</x:v>
      </x:c>
      <x:c r="K15" s="114" t="str">
        <x:v>Loops: 31
External: separate_multimodal_ethics_and_acquisition_authorization</x:v>
      </x:c>
      <x:c r="L15" s="114" t="str">
        <x:v>Planning only. No peripheral recording, device access, real signal read, or model run is authorized.</x:v>
      </x:c>
      <x:c r="M15" s="114" t="str">
        <x:v>Zero collection now; future packet must set exact files, bytes, retention, one-thread analysis, and 32 MiB derived-artifact cap.</x:v>
      </x:c>
      <x:c r="N15" s="141" t="str">
        <x:v>planned_not_authorized</x:v>
      </x:c>
      <x:c r="O15" s="147" t="str">
        <x:v>Not Started</x:v>
      </x:c>
      <x:c r="P15" s="150" t="str">
        <x:v>https://www.nature.com/articles/s41593-026-02303-2.pdf
https://facebookresearch.github.io/brain2qwerty/assets/brain2qwerty_v2.pdf</x:v>
      </x:c>
    </x:row>
    <x:row r="16" ht="138" customHeight="1">
      <x:c r="A16" s="126" t="n">
        <x:v>36</x:v>
      </x:c>
      <x:c r="B16" s="129" t="str">
        <x:v>P3 - Reliability And Confounds</x:v>
      </x:c>
      <x:c r="C16" s="114" t="str">
        <x:v>Geometry And Reference Harmonization</x:v>
      </x:c>
      <x:c r="D16" s="135" t="str">
        <x:v>P1 / M</x:v>
      </x:c>
      <x:c r="E16" s="114" t="str">
        <x:v>Can channel geometry, names, units, reference, and missing sensors be normalized across sessions and devices without erasing provenance?</x:v>
      </x:c>
      <x:c r="F16" s="114" t="str">
        <x:v>Cross-session and cross-device failures can come from coordinate or reference mismatch rather than model capacity.</x:v>
      </x:c>
      <x:c r="G16" s="114" t="str">
        <x:v>Build: Versioned channel ontology, geometry transform ledger, reference/unit converter, missing-channel mask, and roundtrip validation.
Research: Modality-specific coordinate-frame and referencing requirements with explicit non-equivalence rules.</x:v>
      </x:c>
      <x:c r="H16" s="114" t="str">
        <x:v>Data: Synthetic geometry fixtures and metadata sidecars first; real headers only after separate authorization and without opening signal arrays.
Controls:
- Permutation, missing-channel, mirrored-coordinate, wrong-unit, and wrong-reference fixtures.
- Original and harmonized metadata retained side by side.
- No accuracy-based channel mapping on evaluation data.</x:v>
      </x:c>
      <x:c r="I16" s="114" t="str">
        <x:v>- matched, missing, duplicate, and ambiguous channel counts
- coordinate transform residual
- unit and reference conversion identity
- geometry availability fraction
- roundtrip and provenance hashes</x:v>
      </x:c>
      <x:c r="J16" s="114" t="str">
        <x:v>Acceptance: Proceed only when transforms are deterministic, reversible where promised, hash-bound, and refuse ambiguous geometry or reference instead of guessing.
Stop: Keep geometry unavailable if source coordinates or frames cannot be proven; do not infer device equivalence from channel names alone.</x:v>
      </x:c>
      <x:c r="K16" s="114" t="str">
        <x:v>Loops: 29
External: none</x:v>
      </x:c>
      <x:c r="L16" s="114" t="str">
        <x:v>Planning only. Synthetic fixture work or real-header inspection requires a separately scoped Loop 36 authorization.</x:v>
      </x:c>
      <x:c r="M16" s="114" t="str">
        <x:v>Dependency-free core, optional MNE only inside adapters, one thread, 16 MiB artifacts, and zero signal-array reads for metadata mode.</x:v>
      </x:c>
      <x:c r="N16" s="141" t="str">
        <x:v>planned_not_authorized</x:v>
      </x:c>
      <x:c r="O16" s="147" t="str">
        <x:v>Not Started</x:v>
      </x:c>
      <x:c r="P16" s="150" t="str">
        <x:v>https://mne.tools/stable/generated/mne.filter.resample.html
https://bids-specification.readthedocs.io/en/stable/derivatives/introduction.html</x:v>
      </x:c>
    </x:row>
    <x:row r="17" ht="138" customHeight="1">
      <x:c r="A17" s="126" t="n">
        <x:v>37</x:v>
      </x:c>
      <x:c r="B17" s="129" t="str">
        <x:v>P4 - Reproducibility And Local Deployment</x:v>
      </x:c>
      <x:c r="C17" s="114" t="str">
        <x:v>BIDS Derivative And Provenance Export</x:v>
      </x:c>
      <x:c r="D17" s="135" t="str">
        <x:v>P1 / M</x:v>
      </x:c>
      <x:c r="E17" s="114" t="str">
        <x:v>Can caches, tokens, reports, and split metadata be exported as inspectable derivatives without copying raw data or losing source identity?</x:v>
      </x:c>
      <x:c r="F17" s="114" t="str">
        <x:v>A standards-aware derivative makes external reproduction easier while preserving the local-first raw-data boundary.</x:v>
      </x:c>
      <x:c r="G17" s="114" t="str">
        <x:v>Build: BIDS-derivative export plan, dataset description, GeneratedBy and SourceDatasets provenance, sidecars, path validator, and no-raw-copy audit.
Research: BIDS derivative and electrophysiology mapping note identifying standard fields, extension fields, and unsupported claims.</x:v>
      </x:c>
      <x:c r="H17" s="114" t="str">
        <x:v>Data: Tiny synthetic caches and reports only for the interface proof; no real raw file is copied, packaged, or redistributed.
Controls:
- Source, configuration, split, payload, and code hashes retained.
- Path traversal, subject collision, overwrite, and raw-copy refusals.
- Roundtrip validation from derivative metadata back to source artifact identity.</x:v>
      </x:c>
      <x:c r="I17" s="114" t="str">
        <x:v>- required and unavailable field counts
- source-to-derivative hash coverage
- roundtrip identity
- input, output, and duplicated bytes
- raw-data copy count</x:v>
      </x:c>
      <x:c r="J17" s="114" t="str">
        <x:v>Acceptance: Pass as a synthetic derivative interface only when provenance is complete, extension fields are namespaced, no raw payload is copied, and all generated files remain under cap.
Stop: Do not claim BIDS compliance for unsupported fields or invent source metadata; export an explicit warning or refuse.</x:v>
      </x:c>
      <x:c r="K17" s="114" t="str">
        <x:v>Loops: 36
External: none</x:v>
      </x:c>
      <x:c r="L17" s="114" t="str">
        <x:v>Planning only. Export implementation and generated fixtures require a separate Loop 37 authorization.</x:v>
      </x:c>
      <x:c r="M17" s="114" t="str">
        <x:v>One thread, one worker, dependency-free metadata core, 16 MiB generated derivative tree, and zero real-data bytes.</x:v>
      </x:c>
      <x:c r="N17" s="141" t="str">
        <x:v>planned_not_authorized</x:v>
      </x:c>
      <x:c r="O17" s="147" t="str">
        <x:v>Not Started</x:v>
      </x:c>
      <x:c r="P17" s="150" t="str">
        <x:v>https://bids-specification.readthedocs.io/en/stable/derivatives/introduction.html
https://arxiv.org/abs/1803.09010</x:v>
      </x:c>
    </x:row>
    <x:row r="18" ht="138" customHeight="1">
      <x:c r="A18" s="126" t="n">
        <x:v>38</x:v>
      </x:c>
      <x:c r="B18" s="129" t="str">
        <x:v>P4 - Reproducibility And Local Deployment</x:v>
      </x:c>
      <x:c r="C18" s="114" t="str">
        <x:v>Neural Data Privacy And Lifecycle</x:v>
      </x:c>
      <x:c r="D18" s="135" t="str">
        <x:v>P0 / M</x:v>
      </x:c>
      <x:c r="E18" s="114" t="str">
        <x:v>Can the project prove where sensitive recordings and embeddings live, who can access them, and how they are retained or deleted?</x:v>
      </x:c>
      <x:c r="F18" s="114" t="str">
        <x:v>Neural signals and embeddings can carry identity information; local-first behavior needs verifiable lifecycle controls, not just a promise.</x:v>
      </x:c>
      <x:c r="G18" s="114" t="str">
        <x:v>Build: Data inventory, sensitivity labels, local path policy, retention and deletion receipts, redaction scanner, and privacy threat model.
Research: NIST-aligned privacy risk map plus EEG identity-risk review and contributor guidance.</x:v>
      </x:c>
      <x:c r="H18" s="114" t="str">
        <x:v>Data: Repository metadata and synthetic fixtures only; no identity attack, real embedding export, or participant re-identification experiment.
Controls:
- Tracked-history and staged-secret scans.
- Raw, derived, report, log, temporary, and backup lifecycle paths tested separately.
- Absolute paths, participant aliases, timestamps, and device serials redacted by default.
- Deletion receipt verifies expected paths without destructive broad cleanup.</x:v>
      </x:c>
      <x:c r="I18" s="114" t="str">
        <x:v>- sensitive path and field coverage
- redaction recall on generated fixtures
- retention-policy violations
- tracked neural payload bytes
- verified deletion and unresolved copy counts</x:v>
      </x:c>
      <x:c r="J18" s="114" t="str">
        <x:v>Acceptance: Pass when every artifact class has an owner, location, retention rule, redaction behavior, and verifiable local deletion path, with zero tracked neural payloads.
Stop: Block data-sharing or release claims when lifecycle ownership, consent, license, or deletion cannot be proven.</x:v>
      </x:c>
      <x:c r="K18" s="114" t="str">
        <x:v>Loops: 37
External: none</x:v>
      </x:c>
      <x:c r="L18" s="114" t="str">
        <x:v>Planning only. No real identity analysis or destructive cleanup is authorized.</x:v>
      </x:c>
      <x:c r="M18" s="114" t="str">
        <x:v>Standard-library scanners where possible, one thread, one worker, 8 MiB reports, no real signal reads, and no network upload.</x:v>
      </x:c>
      <x:c r="N18" s="141" t="str">
        <x:v>planned_not_authorized</x:v>
      </x:c>
      <x:c r="O18" s="147" t="str">
        <x:v>Not Started</x:v>
      </x:c>
      <x:c r="P18" s="150" t="str">
        <x:v>https://arxiv.org/abs/2412.09854
https://www.nist.gov/privacy-framework/privacy-framework</x:v>
      </x:c>
    </x:row>
    <x:row r="19" ht="138" customHeight="1">
      <x:c r="A19" s="126" t="n">
        <x:v>39</x:v>
      </x:c>
      <x:c r="B19" s="129" t="str">
        <x:v>P4 - Reproducibility And Local Deployment</x:v>
      </x:c>
      <x:c r="C19" s="114" t="str">
        <x:v>Cross-Machine Reproducibility Matrix</x:v>
      </x:c>
      <x:c r="D19" s="135" t="str">
        <x:v>P0 / M</x:v>
      </x:c>
      <x:c r="E19" s="114" t="str">
        <x:v>Which outputs are bitwise stable across supported Python and operating-system combinations, and which require explicit numerical tolerances?</x:v>
      </x:c>
      <x:c r="F19" s="114" t="str">
        <x:v>Open-source users need to know whether a mismatch is a bug, a backend difference, or an unsupported environment.</x:v>
      </x:c>
      <x:c r="G19" s="114" t="str">
        <x:v>Build: CI matrix, environment manifest, golden semantic hashes, tolerance registry, failure diagnostics, and artifact reproducibility report.
Research: Reproducibility policy distinguishing semantic identity, numerical compatibility, timing comparison, and environment-specific evidence.</x:v>
      </x:c>
      <x:c r="H19" s="114" t="str">
        <x:v>Data: Dependency-free tests and authorized synthetic fixtures only; no real or consumed cache, target, or model training access.
Controls:
- At least macOS and Linux where CI capacity permits.
- Base and optional-neuro environments kept separate.
- Bitwise semantic fields tested separately from floating payload tolerances.
- Tolerance changes require a recorded failing environment and explicit decision.</x:v>
      </x:c>
      <x:c r="I19" s="114" t="str">
        <x:v>- matrix pass rate
- semantic hash agreement
- maximum numerical drift
- runtime and peak RSS by environment
- artifact and dependency size</x:v>
      </x:c>
      <x:c r="J19" s="114" t="str">
        <x:v>Acceptance: Pass when every supported cell either reproduces the registered contract or fails with an explicit unsupported reason; no tolerance is widened after hidden evaluation access.
Stop: Do not claim cross-machine reproducibility from one host; quarantine platform-specific drift until diagnosed and documented.</x:v>
      </x:c>
      <x:c r="K19" s="114" t="str">
        <x:v>Loops: 37
External: ci_capacity_and_optional_environment_review</x:v>
      </x:c>
      <x:c r="L19" s="114" t="str">
        <x:v>Planning only. New matrix jobs, fixtures, and optional installs require a separate bounded Loop 39 change.</x:v>
      </x:c>
      <x:c r="M19" s="114" t="str">
        <x:v>One thread per job, no large cache, 32 MiB job artifacts, and existing CI time limits.</x:v>
      </x:c>
      <x:c r="N19" s="141" t="str">
        <x:v>planned_not_authorized</x:v>
      </x:c>
      <x:c r="O19" s="147" t="str">
        <x:v>Not Started</x:v>
      </x:c>
      <x:c r="P19" s="150" t="str">
        <x:v>https://arxiv.org/abs/2404.15319
https://arxiv.org/abs/1810.03993</x:v>
      </x:c>
    </x:row>
    <x:row r="20" ht="138" customHeight="1">
      <x:c r="A20" s="126" t="n">
        <x:v>40</x:v>
      </x:c>
      <x:c r="B20" s="129" t="str">
        <x:v>P4 - Reproducibility And Local Deployment</x:v>
      </x:c>
      <x:c r="C20" s="114" t="str">
        <x:v>Edge Runtime Packaging Gate</x:v>
      </x:c>
      <x:c r="D20" s="135" t="str">
        <x:v>P2 / L</x:v>
      </x:c>
      <x:c r="E20" s="114" t="str">
        <x:v>Can one already qualified frozen pipeline be packaged for an edge runtime while preserving outputs, state, timestamps, and measured resource behavior?</x:v>
      </x:c>
      <x:c r="F20" s="114" t="str">
        <x:v>Packaging is meaningful only after correctness and local runtime gates; it can then reveal startup, delegate, memory-planning, and operator support constraints.</x:v>
      </x:c>
      <x:c r="G20" s="114" t="str">
        <x:v>Build: Single-backend export contract, operator audit, packaged artifact validator, reference comparison, and startup/runtime/RSS report.
Research: ExecuTorch or alternative edge-runtime decision note based on supported operators and target platform, not trend appeal.</x:v>
      </x:c>
      <x:c r="H20" s="114" t="str">
        <x:v>Data: Frozen target-free synthetic fixture only; no real data, consumed targets, retraining, or architecture changes.
Controls:
- Reference eager path retained.
- Exact frame, timestamp, decoder trace, and state comparison.
- Fallback and undelegated operator counts reported.
- Package size, load time, steady-state time, and peak memory separated.</x:v>
      </x:c>
      <x:c r="I20" s="114" t="str">
        <x:v>- behavioral identity and numerical drift
- package and tensor bytes
- startup, producer, decoder, and full-pipeline latency
- peak RSS and planned memory
- delegated, fallback, and unsupported operator counts</x:v>
      </x:c>
      <x:c r="J20" s="114" t="str">
        <x:v>Acceptance: Adopt a package only if a previously qualified reference behavior is preserved, unsupported fallback is zero or explicitly accepted, and a preregistered deployment benefit passes.
Stop: Park packaging if it requires retraining, architecture changes, hidden fallback, or more resources without a measured benefit; do not call desktop packaging portable hardware.</x:v>
      </x:c>
      <x:c r="K20" s="114" t="str">
        <x:v>Loops: 39
External: explicit_loop24_result_or_hold, separate_edge_runtime_authorization</x:v>
      </x:c>
      <x:c r="L20" s="114" t="str">
        <x:v>Planning only. No export, conversion, optional edge dependency, inference, profiler, or package generation is authorized.</x:v>
      </x:c>
      <x:c r="M20" s="114" t="str">
        <x:v>One backend, one thread, one worker, 32 MiB generated package and reports, 60 seconds per measurement worker, and 1 GiB peak RSS.</x:v>
      </x:c>
      <x:c r="N20" s="141" t="str">
        <x:v>planned_not_authorized</x:v>
      </x:c>
      <x:c r="O20" s="147" t="str">
        <x:v>Not Started</x:v>
      </x:c>
      <x:c r="P20" s="150" t="str">
        <x:v>https://docs.pytorch.org/executorch/stable/index.html</x:v>
      </x:c>
    </x:row>
    <x:row r="21" ht="138" customHeight="1">
      <x:c r="A21" s="126" t="n">
        <x:v>41</x:v>
      </x:c>
      <x:c r="B21" s="129" t="str">
        <x:v>P5 - Live Translation And Release</x:v>
      </x:c>
      <x:c r="C21" s="114" t="str">
        <x:v>RW3 Stream-To-NeuroToken Integration</x:v>
      </x:c>
      <x:c r="D21" s="135" t="str">
        <x:v>P1 / L</x:v>
      </x:c>
      <x:c r="E21" s="114" t="str">
        <x:v>Can an authorized source-chunk replay pass through causal preprocessing into NeuroTokenCache without timestamp, gap, state, or schedule drift?</x:v>
      </x:c>
      <x:c r="F21" s="114" t="str">
        <x:v>This joins the acquisition contract to the model interface while keeping replay mechanics separate from hardware and decoding claims.</x:v>
      </x:c>
      <x:c r="G21" s="114" t="str">
        <x:v>Build: Source-chunk to preprocessing to NeuroToken adapter, resume state, gap propagation, schedule matrix, and end-to-end provenance hashes.
Research: Clock-domain and latency ledger mapping source, corrected, arrival, preprocessing, token, decoder, and render times.</x:v>
      </x:c>
      <x:c r="H21" s="114" t="str">
        <x:v>Data: Only future authorized target-free RW3 synthetic replay; no BrainFlow, LSL, PyXDF, socket, live source, hardware, or real recording unless separately staged later.
Controls:
- Canonical offline path and every authorized chunk schedule.
- Gap, duplicate, reorder, reconnect, and reset fixtures.
- Raw, corrected, and arrival clocks kept distinct.
- Resume from serialized state compared with uninterrupted replay.</x:v>
      </x:c>
      <x:c r="I21" s="114" t="str">
        <x:v>- source, preprocessing, and token semantic hash agreement
- timestamp and valid-length identity
- gap and anomaly propagation
- state bytes and resume identity
- stage runtime, scheduling delay, peak RSS, and output bytes</x:v>
      </x:c>
      <x:c r="J21" s="114" t="str">
        <x:v>Acceptance: Pass only when every authorized schedule and resume path preserves canonical tokens and provenance, and anomalies remain explicit rather than repaired silently.
Stop: Any timestamp collapse, silent interpolation, lost anomaly, schedule-dependent token, or state mismatch parks integration before live or device work.</x:v>
      </x:c>
      <x:c r="K21" s="114" t="str">
        <x:v>Loops: 25, 37, 39
External: explicit_rw3_stage_a_authorization_and_closeout, separate_loop41_authorization</x:v>
      </x:c>
      <x:c r="L21" s="114" t="str">
        <x:v>Planning only. This roadmap does not authorize RW3 Stage A or any adapter, fixture, source-chunk, stream, or token runtime.</x:v>
      </x:c>
      <x:c r="M21" s="114" t="str">
        <x:v>One thread and worker, 32 MiB generated target-free artifacts, 60 seconds per worker, and 1 GiB peak RSS.</x:v>
      </x:c>
      <x:c r="N21" s="141" t="str">
        <x:v>planned_not_authorized</x:v>
      </x:c>
      <x:c r="O21" s="147" t="str">
        <x:v>Not Started</x:v>
      </x:c>
      <x:c r="P21" s="150" t="str">
        <x:v>https://labstreaminglayer.readthedocs.io/info/time_synchronization.html
https://bids-specification.readthedocs.io/en/stable/derivatives/introduction.html</x:v>
      </x:c>
    </x:row>
    <x:row r="22" ht="138" customHeight="1">
      <x:c r="A22" s="126" t="n">
        <x:v>42</x:v>
      </x:c>
      <x:c r="B22" s="129" t="str">
        <x:v>P5 - Live Translation And Release</x:v>
      </x:c>
      <x:c r="C22" s="114" t="str">
        <x:v>One-Device Qualification</x:v>
      </x:c>
      <x:c r="D22" s="135" t="str">
        <x:v>P2 / L</x:v>
      </x:c>
      <x:c r="E22" s="114" t="str">
        <x:v>Can one named device preserve declared channels, units, clocks, packets, and privacy from recorded replay through a bounded local session?</x:v>
      </x:c>
      <x:c r="F22" s="114" t="str">
        <x:v>One measured device is more credible than broad compatibility claims based on SDK imports or vendor tables.</x:v>
      </x:c>
      <x:c r="G22" s="114" t="str">
        <x:v>Build: Device descriptor, consent and locality checklist, recorded-versus-live equivalence packet, loss/reconnect stress report, and compatibility-level decision.
Research: Device-specific timestamp, unit, reference, geometry, firmware, and data-retention review.</x:v>
      </x:c>
      <x:c r="H22" s="114" t="str">
        <x:v>Data: One separately approved board or headset, one local synthetic or consented non-sensitive qualification session, and no decoding target unless separately approved.
Controls:
- SDK synthetic or playback source before physical hardware.
- Recorded and live paths compared under the same source-chunk contract.
- Packet loss, reconnect, clock reset, and buffer-drain stress cases.
- Network-off and local-storage audit.</x:v>
      </x:c>
      <x:c r="I22" s="114" t="str">
        <x:v>- channel, unit, rate, and packet identity
- clock offset, jitter, gaps, duplicates, and reorder counts
- capture-to-arrival timing boundary
- runtime, peak RSS, bytes, and dropped samples
- privacy and retention violations</x:v>
      </x:c>
      <x:c r="J22" s="114" t="str">
        <x:v>Acceptance: Qualify only the named device, firmware, transport, host, and tested compatibility level; connectivity alone cannot qualify signal quality or decoding.
Stop: Park physical qualification on ambiguous consent, cloud dependence, hidden timestamps, unstable identity, unsafe retention, or failed replay equivalence.</x:v>
      </x:c>
      <x:c r="K22" s="114" t="str">
        <x:v>Loops: 29, 38, 41
External: explicit_device_stage_authorization, ethics_consent_and_retention_approval</x:v>
      </x:c>
      <x:c r="L22" s="114" t="str">
        <x:v>Planning only. No SDK import, device discovery, socket, stream, board, hardware, or recording session is authorized.</x:v>
      </x:c>
      <x:c r="M22" s="114" t="str">
        <x:v>One device, one host, one thread for analysis, exact session and byte cap in a future packet, 32 MiB derived artifacts, and no cloud upload.</x:v>
      </x:c>
      <x:c r="N22" s="141" t="str">
        <x:v>planned_not_authorized</x:v>
      </x:c>
      <x:c r="O22" s="147" t="str">
        <x:v>Not Started</x:v>
      </x:c>
      <x:c r="P22" s="150" t="str">
        <x:v>https://labstreaminglayer.readthedocs.io/info/time_synchronization.html
https://www.nist.gov/privacy-framework/privacy-framework</x:v>
      </x:c>
    </x:row>
    <x:row r="23" ht="138" customHeight="1">
      <x:c r="A23" s="126" t="n">
        <x:v>43</x:v>
      </x:c>
      <x:c r="B23" s="129" t="str">
        <x:v>P5 - Live Translation And Release</x:v>
      </x:c>
      <x:c r="C23" s="114" t="str">
        <x:v>Independent Reproduction Challenge</x:v>
      </x:c>
      <x:c r="D23" s="135" t="str">
        <x:v>P1 / M</x:v>
      </x:c>
      <x:c r="E23" s="114" t="str">
        <x:v>Can an independent contributor reproduce a bounded claim from documented inputs without private guidance or sharing neural recordings?</x:v>
      </x:c>
      <x:c r="F23" s="114" t="str">
        <x:v>Independent reproduction tests the developer experience, evidence contracts, and contribution path more honestly than another maintainer-run demo.</x:v>
      </x:c>
      <x:c r="G23" s="114" t="str">
        <x:v>Build: Challenge packet, fixture manifest, expected semantic checks, environment capture, blinded result card, and discrepancy triage workflow.
Research: Reproduction protocol distinguishing exact replication, computational reproduction, and extension on contributor-owned data.</x:v>
      </x:c>
      <x:c r="H23" s="114" t="str">
        <x:v>Data: Public code plus tiny synthetic fixtures by default; contributors keep any owned EEG local and submit metadata/aggregate reports only.
Controls:
- Maintainer and contributor environments recorded independently.
- Expected results hidden where needed until submission hash freezes.
- No private recording, secret, absolute path, or participant identifier in the submission.
- Negative and failed reproductions retained.</x:v>
      </x:c>
      <x:c r="I23" s="114" t="str">
        <x:v>- semantic and numerical reproduction rate
- setup time and command count
- environment and warning completeness
- discrepancy classes
- contributor artifact bytes and privacy findings</x:v>
      </x:c>
      <x:c r="J23" s="114" t="str">
        <x:v>Acceptance: Pass when at least one independent environment reproduces the registered artifact contract and a discrepancy, if any, is resolved or documented without moving the claim boundary.
Stop: Do not promote a result that depends on undocumented maintainer state, private hand edits, leaked data, or an unreviewed tolerance change.</x:v>
      </x:c>
      <x:c r="K23" s="114" t="str">
        <x:v>Loops: 37, 38, 39
External: community_participant_and_challenge_review</x:v>
      </x:c>
      <x:c r="L23" s="114" t="str">
        <x:v>Planning only. No outreach, external data exchange, or challenge execution is authorized by the roadmap file.</x:v>
      </x:c>
      <x:c r="M23" s="114" t="str">
        <x:v>Tiny public fixtures only, one-thread reference commands, 32 MiB submission cap, and no neural recording upload.</x:v>
      </x:c>
      <x:c r="N23" s="141" t="str">
        <x:v>planned_not_authorized</x:v>
      </x:c>
      <x:c r="O23" s="147" t="str">
        <x:v>Not Started</x:v>
      </x:c>
      <x:c r="P23" s="150" t="str">
        <x:v>https://arxiv.org/abs/2404.15319
https://arxiv.org/abs/1810.03993
https://arxiv.org/abs/1803.09010</x:v>
      </x:c>
    </x:row>
    <x:row r="24" ht="138" customHeight="1">
      <x:c r="A24" s="127" t="n">
        <x:v>44</x:v>
      </x:c>
      <x:c r="B24" s="130" t="str">
        <x:v>P5 - Live Translation And Release</x:v>
      </x:c>
      <x:c r="C24" s="115" t="str">
        <x:v>Claim Promotion And Release Decision</x:v>
      </x:c>
      <x:c r="D24" s="136" t="str">
        <x:v>P0 / M</x:v>
      </x:c>
      <x:c r="E24" s="115" t="str">
        <x:v>Which engineering and scientific claims have earned promotion into a release, and which remain fixture-backed, negative, unavailable, parked, or killed?</x:v>
      </x:c>
      <x:c r="F24" s="115" t="str">
        <x:v>The roadmap should end in an evidence decision, not an accumulation of features or optimistic wording.</x:v>
      </x:c>
      <x:c r="G24" s="115" t="str">
        <x:v>Build: Machine-readable evidence matrix, model and dataset cards, release checklist, claim diff, risk register, and signed proceed, park, or kill decision.
Research: Release and reporting policy grounded in model cards, datasheets, privacy, licensing, and reproducibility evidence.</x:v>
      </x:c>
      <x:c r="H24" s="115" t="str">
        <x:v>Data: Artifact-only synthesis of closed loop reports; no raw, consumed, target, model, training, device, or network operation.
Controls:
- Every claim links to a cohort, split, comparator, uncertainty, resource, and access record.
- Negative results and unavailable fields remain visible.
- Engineering capability and scientific performance are stated separately.
- Clinical, arbitrary-thought, portable-hardware, and real-time claims default to unavailable.</x:v>
      </x:c>
      <x:c r="I24" s="115" t="str">
        <x:v>- claims promoted, parked, killed, and unavailable
- evidence-card completeness
- unresolved privacy, license, security, and reproducibility blockers
- artifact and documentation link integrity
- release test and CI status</x:v>
      </x:c>
      <x:c r="J24" s="115" t="str">
        <x:v>Acceptance: Release only the subset whose exact evidence cards, licenses, privacy controls, independent reproduction, tests, and claim language pass; all other claims stay explicitly unestablished.
Stop: Hold the release rather than soften a failed gate, omit a negative comparator, or convert an engineering interface proof into a decoding claim.</x:v>
      </x:c>
      <x:c r="K24" s="115" t="str">
        <x:v>Loops: 38, 39, 43
External: maintainer_release_decision</x:v>
      </x:c>
      <x:c r="L24" s="115" t="str">
        <x:v>Planning only. The future release decision cannot retroactively authorize or upgrade any earlier experiment.</x:v>
      </x:c>
      <x:c r="M24" s="115" t="str">
        <x:v>Artifact-only review, one thread, one worker, 16 MiB generated reports, zero data/model/training/device access, and complete link/test checks.</x:v>
      </x:c>
      <x:c r="N24" s="142" t="str">
        <x:v>planned_not_authorized</x:v>
      </x:c>
      <x:c r="O24" s="148" t="str">
        <x:v>Not Started</x:v>
      </x:c>
      <x:c r="P24" s="151" t="str">
        <x:v>https://arxiv.org/abs/1810.03993
https://arxiv.org/abs/1803.09010
https://www.nist.gov/privacy-framework/privacy-framework</x:v>
      </x:c>
    </x:row>
  </x:sheetData>
  <x:mergeCells>
    <x:mergeCell ref="A1:P1"/>
    <x:mergeCell ref="A2:P2"/>
    <x:mergeCell ref="A3:P3"/>
  </x:mergeCells>
  <x:conditionalFormatting sqref="O5:O24">
    <x:cfRule type="containsText" dxfId="4" priority="1" operator="containsText" text="Done"/>
    <x:cfRule type="containsText" dxfId="5" priority="2" operator="containsText" text="Parked"/>
    <x:cfRule type="containsText" dxfId="6" priority="3" operator="containsText" text="Blocked"/>
    <x:cfRule type="containsText" dxfId="7" priority="4" operator="containsText" text="Not Started"/>
  </x:conditionalFormatting>
  <x:dataValidations count="1">
    <x:dataValidation type="list" sqref="O5:O24">
      <x:formula1>'Lists'!$A$2:$A$7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701abc426774c63"/>
  </x:tableParts>
</x:worksheet>
</file>