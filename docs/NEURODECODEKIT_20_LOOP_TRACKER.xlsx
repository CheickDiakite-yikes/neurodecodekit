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98b3da910146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51d1fd6a0a14b19"/>
    <x:sheet xmlns:r="http://schemas.openxmlformats.org/officeDocument/2006/relationships" name="Loop Tracker" sheetId="2" r:id="Re9283ccdbc1c44e1"/>
    <x:sheet xmlns:r="http://schemas.openxmlformats.org/officeDocument/2006/relationships" name="Decision Log" sheetId="3" r:id="R0175fb3bf0384e80"/>
    <x:sheet xmlns:r="http://schemas.openxmlformats.org/officeDocument/2006/relationships" name="Risk Register" sheetId="4" r:id="R96f3ee232f794904"/>
    <x:sheet xmlns:r="http://schemas.openxmlformats.org/officeDocument/2006/relationships" name="Experiment Template" sheetId="5" r:id="Rdb714919982c4488"/>
    <x:sheet xmlns:r="http://schemas.openxmlformats.org/officeDocument/2006/relationships" name="Prompt Bank" sheetId="6" r:id="R5814ee55d1e64af5"/>
    <x:sheet xmlns:r="http://schemas.openxmlformats.org/officeDocument/2006/relationships" name="Lists" sheetId="7" r:id="R84bad1cb6e1845d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yyyy-mm-dd"/>
    <x:numFmt numFmtId="202" formatCode="0.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sz val="11"/>
      <x:color rgb="FF7C2D12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11827"/>
      </x:patternFill>
    </x:fill>
    <x:fill>
      <x:patternFill patternType="solid">
        <x:fgColor rgb="FFFFF7ED"/>
      </x:patternFill>
    </x:fill>
  </x:fills>
  <x:borders count="2">
    <x:border/>
    <x:border/>
  </x:borders>
  <x:cellStyleXfs count="1">
    <x:xf numFmtId="0" fontId="0" fillId="0" borderId="0"/>
  </x:cellStyleXfs>
  <x:cellXfs count="4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</x:cellXfs>
  <x:cellStyles count="1">
    <x:cellStyle name="Normal" xfId="0"/>
  </x:cellStyles>
  <x:dxfs count="4">
    <x:dxf>
      <x:font>
        <x:b/>
        <x:color rgb="FF7F1D1D"/>
      </x:font>
      <x:fill>
        <x:patternFill>
          <x:bgColor rgb="FFFECACA"/>
        </x:patternFill>
      </x:fill>
    </x:dxf>
    <x:dxf>
      <x:font>
        <x:b/>
        <x:color rgb="FF14532D"/>
      </x:font>
      <x:fill>
        <x:patternFill>
          <x:bgColor rgb="FFDCFCE7"/>
        </x:patternFill>
      </x:fill>
    </x:dxf>
    <x:dxf>
      <x:font>
        <x:b/>
        <x:color rgb="FF1E3A8A"/>
      </x:font>
      <x:fill>
        <x:patternFill>
          <x:bgColor rgb="FFDBEAFE"/>
        </x:patternFill>
      </x:fill>
    </x:dxf>
    <x:dxf>
      <x:font>
        <x:b/>
        <x:color rgb="FF78350F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7be8cc80ce4a24" /><Relationship Type="http://schemas.openxmlformats.org/officeDocument/2006/relationships/theme" Target="/xl/theme/theme1.xml" Id="Rb1cf4bd3f96f4f6b" /><Relationship Type="http://schemas.openxmlformats.org/officeDocument/2006/relationships/sharedStrings" Target="/xl/sharedStrings.xml" Id="R364b5884392241f0" /><Relationship Type="http://schemas.openxmlformats.org/officeDocument/2006/relationships/worksheet" Target="/xl/worksheets/sheet1.xml" Id="R951d1fd6a0a14b19" /><Relationship Type="http://schemas.openxmlformats.org/officeDocument/2006/relationships/worksheet" Target="/xl/worksheets/sheet2.xml" Id="Re9283ccdbc1c44e1" /><Relationship Type="http://schemas.openxmlformats.org/officeDocument/2006/relationships/worksheet" Target="/xl/worksheets/sheet3.xml" Id="R0175fb3bf0384e80" /><Relationship Type="http://schemas.openxmlformats.org/officeDocument/2006/relationships/worksheet" Target="/xl/worksheets/sheet4.xml" Id="R96f3ee232f794904" /><Relationship Type="http://schemas.openxmlformats.org/officeDocument/2006/relationships/worksheet" Target="/xl/worksheets/sheet5.xml" Id="Rdb714919982c4488" /><Relationship Type="http://schemas.openxmlformats.org/officeDocument/2006/relationships/worksheet" Target="/xl/worksheets/sheet6.xml" Id="R5814ee55d1e64af5" /><Relationship Type="http://schemas.openxmlformats.org/officeDocument/2006/relationships/worksheet" Target="/xl/worksheets/sheet7.xml" Id="R84bad1cb6e1845d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b075be4841a4c0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Loops by Phase</a:t>
            </a:r>
          </a:p>
        </c:rich>
      </c:tx>
    </c:title>
    <c:autoTitleDeleted val="0"/>
    <c:plotArea>
      <c:barChart>
        <c:barDir val="col"/>
        <c:varyColors val="0"/>
        <c:ser>
          <c:idx val="0"/>
          <c:order val="0"/>
          <c:tx>
            <c:v>Loops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20</xdr:row>
      <xdr:rowOff>0</xdr:rowOff>
    </xdr:from>
    <xdr:to>
      <xdr:col>8</xdr:col>
      <xdr:colOff>0</xdr:colOff>
      <xdr:row>36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075be4841a4c0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LoopTrackerTable" displayName="LoopTrackerTable" ref="A1:T21" headerRowCount="1">
  <x:tableColumns count="20">
    <x:tableColumn id="1" name="Loop ID"/>
    <x:tableColumn id="2" name="Phase"/>
    <x:tableColumn id="3" name="Loop Name"/>
    <x:tableColumn id="4" name="Core Question"/>
    <x:tableColumn id="5" name="Build Deliverable"/>
    <x:tableColumn id="6" name="Research Deliverable"/>
    <x:tableColumn id="7" name="Data Scope"/>
    <x:tableColumn id="8" name="Method / Baseline"/>
    <x:tableColumn id="9" name="Primary Metric"/>
    <x:tableColumn id="10" name="Acceptance Gate"/>
    <x:tableColumn id="11" name="Status"/>
    <x:tableColumn id="12" name="Priority"/>
    <x:tableColumn id="13" name="Owner"/>
    <x:tableColumn id="14" name="Effort"/>
    <x:tableColumn id="15" name="Dependencies"/>
    <x:tableColumn id="16" name="Complexity"/>
    <x:tableColumn id="17" name="Codex Prompt Seed"/>
    <x:tableColumn id="18" name="Notes"/>
    <x:tableColumn id="19" name="Score"/>
    <x:tableColumn id="20" name="Health"/>
  </x:tableColumns>
  <x:tableStyleInfo name="TableStyleMedium2" showRowStripes="1"/>
</x:table>
</file>

<file path=xl/tables/table2.xml><?xml version="1.0" encoding="utf-8"?>
<x:table xmlns:x="http://schemas.openxmlformats.org/spreadsheetml/2006/main" id="13" name="DecisionLogTable" displayName="DecisionLogTable" ref="A1:I19" headerRowCount="1" totalsRowCount="0" totalsRowShown="0">
  <x:autoFilter ref="A1:I19"/>
  <x:tableColumns count="9">
    <x:tableColumn id="1" name="Date"/>
    <x:tableColumn id="2" name="Loop ID"/>
    <x:tableColumn id="3" name="Decision"/>
    <x:tableColumn id="4" name="Rationale"/>
    <x:tableColumn id="5" name="Evidence / Link"/>
    <x:tableColumn id="6" name="Reversible?"/>
    <x:tableColumn id="7" name="Owner"/>
    <x:tableColumn id="8" name="Next Review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4" name="RiskRegisterTable" displayName="RiskRegisterTable" ref="A1:I23" headerRowCount="1" totalsRowCount="0" totalsRowShown="0">
  <x:autoFilter ref="A1:I23"/>
  <x:tableColumns count="9">
    <x:tableColumn id="1" name="Risk ID"/>
    <x:tableColumn id="2" name="Area"/>
    <x:tableColumn id="3" name="Risk"/>
    <x:tableColumn id="4" name="Likelihood"/>
    <x:tableColumn id="5" name="Impact"/>
    <x:tableColumn id="6" name="Mitigation"/>
    <x:tableColumn id="7" name="Trigger"/>
    <x:tableColumn id="8" name="Owner"/>
    <x:tableColumn id="9" name="Statu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mptBankTable" displayName="PromptBankTable" ref="A1:C23" headerRowCount="1" totalsRowCount="0">
  <x:tableColumns count="3">
    <x:tableColumn id="1" name="Loop ID"/>
    <x:tableColumn id="2" name="Loop Name"/>
    <x:tableColumn id="3" name="Prompt Seed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3abeeaa385b4a8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863ddf29f2a4c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aeacaaf13b3400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92c8b0b99b04d1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c84594e9b8cb4abd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12" hidden="0" customWidth="1"/>
    <x:col min="4" max="4" width="12" hidden="0" customWidth="1"/>
    <x:col min="6" max="6" width="28" hidden="0" customWidth="1"/>
    <x:col min="7" max="7" width="28" hidden="0" customWidth="1"/>
    <x:col min="8" max="8" width="28" hidden="0" customWidth="1"/>
  </x:cols>
  <x:sheetData>
    <x:row r="1" ht="28" customHeight="1">
      <x:c r="A1" s="21" t="str">
        <x:v>NeuroDecodeKit: Post-PR1 20-Loop Tracker</x:v>
      </x:c>
      <x:c r="B1" s="21"/>
      <x:c r="C1" s="21"/>
      <x:c r="D1" s="21"/>
      <x:c r="E1" s="21"/>
      <x:c r="F1" s="21"/>
      <x:c r="G1" s="21"/>
      <x:c r="H1" s="21"/>
    </x:row>
    <x:row r="2">
      <x:c r="A2" s="29" t="str">
        <x:v>Core rule: keep the loop tiny, honest, measured, and repeatable before adding model complexity.</x:v>
      </x:c>
      <x:c r="B2" s="29" t="str"/>
      <x:c r="C2" s="29" t="str"/>
      <x:c r="D2" s="29" t="str"/>
      <x:c r="E2" s="29" t="str"/>
      <x:c r="F2" s="29" t="str"/>
      <x:c r="G2" s="29" t="str"/>
      <x:c r="H2" s="29" t="str"/>
    </x:row>
    <x:row r="4" ht="30" customHeight="1">
      <x:c r="A4" s="6" t="str">
        <x:v>KPI</x:v>
      </x:c>
      <x:c r="B4" s="6" t="str">
        <x:v>Value</x:v>
      </x:c>
      <x:c r="F4" s="6" t="str">
        <x:v>How to use this tracker</x:v>
      </x:c>
      <x:c r="G4" s="6" t="str"/>
      <x:c r="H4" s="6" t="str"/>
    </x:row>
    <x:row r="5">
      <x:c r="A5" s="36" t="str">
        <x:v>Total loops</x:v>
      </x:c>
      <x:c r="B5" s="36" t="n">
        <x:f>COUNTA('Loop Tracker'!$A$2:$A$21)</x:f>
        <x:v>20</x:v>
      </x:c>
      <x:c r="F5" s="29" t="str">
        <x:v>1) Work top-down unless a blocker forces a spike.
2) Keep each loop small enough for one PR or one experiment note.
3) Every loop needs an acceptance gate, not vibes.
4) Add complexity only after a simpler baseline fails.
5) Never silently download huge neurodata.
6) Record kill/iterate/proceed decisions in the Decision Log.</x:v>
      </x:c>
      <x:c r="G5" s="29" t="str"/>
      <x:c r="H5" s="29" t="str"/>
    </x:row>
    <x:row r="6">
      <x:c r="A6" s="36" t="str">
        <x:v>Done</x:v>
      </x:c>
      <x:c r="B6" s="36" t="n">
        <x:v>19</x:v>
      </x:c>
      <x:c r="F6" s="29" t="str"/>
      <x:c r="G6" s="29" t="str"/>
      <x:c r="H6" s="29" t="str"/>
    </x:row>
    <x:row r="7">
      <x:c r="A7" s="36" t="str">
        <x:v>Active</x:v>
      </x:c>
      <x:c r="B7" s="36" t="n">
        <x:v>0</x:v>
      </x:c>
      <x:c r="F7" s="29" t="str"/>
      <x:c r="G7" s="29" t="str"/>
      <x:c r="H7" s="29" t="str"/>
    </x:row>
    <x:row r="8">
      <x:c r="A8" s="36" t="str">
        <x:v>Blocked</x:v>
      </x:c>
      <x:c r="B8" s="36" t="n">
        <x:v>0</x:v>
      </x:c>
      <x:c r="F8" s="29" t="str"/>
      <x:c r="G8" s="29" t="str"/>
      <x:c r="H8" s="29" t="str"/>
    </x:row>
    <x:row r="9">
      <x:c r="A9" s="36" t="str">
        <x:v>Average progress</x:v>
      </x:c>
      <x:c r="B9" s="41" t="n">
        <x:v>0.955</x:v>
      </x:c>
      <x:c r="F9" s="29" t="str"/>
      <x:c r="G9" s="29" t="str"/>
      <x:c r="H9" s="29" t="str"/>
    </x:row>
    <x:row r="10" ht="142.5" customHeight="1">
      <x:c r="A10" s="12" t="str">
        <x:v>Next operating rule</x:v>
      </x:c>
      <x:c r="B10" s="39" t="str">
        <x:v>First roadmap closed. Post-roadmap Loop 21 causal replay passed; next: Loop 22 tiny learned causal encoder on synthetic train/validation/test only.</x:v>
      </x:c>
      <x:c r="C10" s="39"/>
      <x:c r="D10" s="39"/>
      <x:c r="F10" s="29" t="str"/>
      <x:c r="G10" s="29" t="str"/>
      <x:c r="H10" s="29" t="str"/>
    </x:row>
    <x:row r="11">
      <x:c r="F11" s="29" t="str"/>
      <x:c r="G11" s="29" t="str"/>
      <x:c r="H11" s="29" t="str"/>
    </x:row>
    <x:row r="12" ht="30" customHeight="1">
      <x:c r="A12" s="6" t="str">
        <x:v>Phase</x:v>
      </x:c>
      <x:c r="B12" s="6" t="str">
        <x:v>Loops</x:v>
      </x:c>
      <x:c r="C12" s="6" t="str">
        <x:v>Done</x:v>
      </x:c>
      <x:c r="D12" s="6" t="str">
        <x:v>Progress</x:v>
      </x:c>
      <x:c r="F12" s="29" t="str"/>
      <x:c r="G12" s="29" t="str"/>
      <x:c r="H12" s="29" t="str"/>
    </x:row>
    <x:row r="13">
      <x:c r="A13" t="str">
        <x:v>Foundation</x:v>
      </x:c>
      <x:c r="B13" t="n">
        <x:f>COUNTIF('Loop Tracker'!$B$2:$B$21,A13)</x:f>
        <x:v>5</x:v>
      </x:c>
      <x:c r="C13" t="n">
        <x:f>COUNTIFS('Loop Tracker'!$B$2:$B$21,A13,'Loop Tracker'!$K$2:$K$21,"Done")</x:f>
        <x:v>5</x:v>
      </x:c>
      <x:c r="D13" s="34" t="n">
        <x:f>AVERAGE('Loop Tracker'!$S$2:$S$6)</x:f>
        <x:v>1</x:v>
      </x:c>
      <x:c r="F13" s="29" t="str"/>
      <x:c r="G13" s="29" t="str"/>
      <x:c r="H13" s="29" t="str"/>
    </x:row>
    <x:row r="14">
      <x:c r="A14" t="str">
        <x:v>Baselines</x:v>
      </x:c>
      <x:c r="B14" t="n">
        <x:f>COUNTIF('Loop Tracker'!$B$2:$B$21,A14)</x:f>
        <x:v>4</x:v>
      </x:c>
      <x:c r="C14" t="n">
        <x:f>COUNTIFS('Loop Tracker'!$B$2:$B$21,A14,'Loop Tracker'!$K$2:$K$21,"Done")</x:f>
        <x:v>4</x:v>
      </x:c>
      <x:c r="D14" s="34" t="n">
        <x:f>AVERAGE('Loop Tracker'!$S$7:$S$10)</x:f>
        <x:v>1</x:v>
      </x:c>
    </x:row>
    <x:row r="15">
      <x:c r="A15" t="str">
        <x:v>Compression</x:v>
      </x:c>
      <x:c r="B15" t="n">
        <x:f>COUNTIF('Loop Tracker'!$B$2:$B$21,A15)</x:f>
        <x:v>4</x:v>
      </x:c>
      <x:c r="C15" t="n">
        <x:v>3</x:v>
      </x:c>
      <x:c r="D15" s="34" t="n">
        <x:f>AVERAGE('Loop Tracker'!$S$11:$S$14)</x:f>
        <x:v>0.775</x:v>
      </x:c>
    </x:row>
    <x:row r="16">
      <x:c r="A16" t="str">
        <x:v>Generalization</x:v>
      </x:c>
      <x:c r="B16" t="n">
        <x:f>COUNTIF('Loop Tracker'!$B$2:$B$21,A16)</x:f>
        <x:v>3</x:v>
      </x:c>
      <x:c r="C16" t="n">
        <x:v>3</x:v>
      </x:c>
      <x:c r="D16" s="34" t="n">
        <x:v>1</x:v>
      </x:c>
    </x:row>
    <x:row r="17">
      <x:c r="A17" t="str">
        <x:v>UX &amp; Reproducibility</x:v>
      </x:c>
      <x:c r="B17" t="n">
        <x:f>COUNTIF('Loop Tracker'!$B$2:$B$21,A17)</x:f>
        <x:v>2</x:v>
      </x:c>
      <x:c r="C17" t="n">
        <x:v>2</x:v>
      </x:c>
      <x:c r="D17" s="34" t="n">
        <x:v>1</x:v>
      </x:c>
    </x:row>
    <x:row r="18">
      <x:c r="A18" t="str">
        <x:v>Expansion</x:v>
      </x:c>
      <x:c r="B18" t="n">
        <x:f>COUNTIF('Loop Tracker'!$B$2:$B$21,A18)</x:f>
        <x:v>2</x:v>
      </x:c>
      <x:c r="C18" t="n">
        <x:v>2</x:v>
      </x:c>
      <x:c r="D18" s="34" t="n">
        <x:v>1</x:v>
      </x:c>
    </x:row>
  </x:sheetData>
  <x:mergeCells>
    <x:mergeCell ref="A1:H1"/>
    <x:mergeCell ref="A2:H2"/>
    <x:mergeCell ref="F4:H4"/>
    <x:mergeCell ref="F5:H13"/>
  </x:mergeCells>
  <x:pageMargins left="0.7" right="0.7" top="0.75" bottom="0.75" header="0.3" footer="0.3"/>
  <x:drawing xmlns:r="http://schemas.openxmlformats.org/officeDocument/2006/relationships" r:id="Rc3abeeaa385b4a8f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8" hidden="0" customWidth="1"/>
    <x:col min="3" max="3" width="28" hidden="0" customWidth="1"/>
    <x:col min="4" max="4" width="38" hidden="0" customWidth="1"/>
    <x:col min="5" max="5" width="40" hidden="0" customWidth="1"/>
    <x:col min="6" max="6" width="38" hidden="0" customWidth="1"/>
    <x:col min="7" max="7" width="28" hidden="0" customWidth="1"/>
    <x:col min="8" max="8" width="32" hidden="0" customWidth="1"/>
    <x:col min="9" max="9" width="24" hidden="0" customWidth="1"/>
    <x:col min="10" max="10" width="42" hidden="0" customWidth="1"/>
    <x:col min="11" max="11" width="14" hidden="0" customWidth="1"/>
    <x:col min="12" max="12" width="10" hidden="0" customWidth="1"/>
    <x:col min="13" max="13" width="12" hidden="0" customWidth="1"/>
    <x:col min="14" max="14" width="10" hidden="0" customWidth="1"/>
    <x:col min="15" max="15" width="24" hidden="0" customWidth="1"/>
    <x:col min="16" max="16" width="12" hidden="0" customWidth="1"/>
    <x:col min="17" max="17" width="44" hidden="0" customWidth="1"/>
    <x:col min="18" max="18" width="24" hidden="0" customWidth="1"/>
    <x:col min="19" max="19" width="10" hidden="0" customWidth="1"/>
    <x:col min="20" max="20" width="18" hidden="0" customWidth="1"/>
  </x:cols>
  <x:sheetData>
    <x:row r="1" ht="30" customHeight="1">
      <x:c r="A1" s="6" t="str">
        <x:v>Loop ID</x:v>
      </x:c>
      <x:c r="B1" s="6" t="str">
        <x:v>Phase</x:v>
      </x:c>
      <x:c r="C1" s="6" t="str">
        <x:v>Loop Name</x:v>
      </x:c>
      <x:c r="D1" s="6" t="str">
        <x:v>Core Question</x:v>
      </x:c>
      <x:c r="E1" s="6" t="str">
        <x:v>Build Deliverable</x:v>
      </x:c>
      <x:c r="F1" s="6" t="str">
        <x:v>Research Deliverable</x:v>
      </x:c>
      <x:c r="G1" s="6" t="str">
        <x:v>Data Scope</x:v>
      </x:c>
      <x:c r="H1" s="6" t="str">
        <x:v>Method / Baseline</x:v>
      </x:c>
      <x:c r="I1" s="6" t="str">
        <x:v>Primary Metric</x:v>
      </x:c>
      <x:c r="J1" s="6" t="str">
        <x:v>Acceptance Gate</x:v>
      </x:c>
      <x:c r="K1" s="6" t="str">
        <x:v>Status</x:v>
      </x:c>
      <x:c r="L1" s="6" t="str">
        <x:v>Priority</x:v>
      </x:c>
      <x:c r="M1" s="6" t="str">
        <x:v>Owner</x:v>
      </x:c>
      <x:c r="N1" s="6" t="str">
        <x:v>Effort</x:v>
      </x:c>
      <x:c r="O1" s="6" t="str">
        <x:v>Dependencies</x:v>
      </x:c>
      <x:c r="P1" s="6" t="str">
        <x:v>Complexity</x:v>
      </x:c>
      <x:c r="Q1" s="6" t="str">
        <x:v>Codex Prompt Seed</x:v>
      </x:c>
      <x:c r="R1" s="6" t="str">
        <x:v>Notes</x:v>
      </x:c>
      <x:c r="S1" s="6" t="str">
        <x:v>Score</x:v>
      </x:c>
      <x:c r="T1" s="6" t="str">
        <x:v>Health</x:v>
      </x:c>
    </x:row>
    <x:row r="2" ht="68" customHeight="1">
      <x:c r="A2" s="14" t="n">
        <x:v>1</x:v>
      </x:c>
      <x:c r="B2" s="14" t="str">
        <x:v>Foundation</x:v>
      </x:c>
      <x:c r="C2" s="14" t="str">
        <x:v>PR1 Closeout + Smoke Loop</x:v>
      </x:c>
      <x:c r="D2" s="14" t="str">
        <x:v>Can one real/synthetic event-window extraction path run without hidden assumptions?</x:v>
      </x:c>
      <x:c r="E2" s="14" t="str">
        <x:v>Finalize `extract-windows`; add synthetic smoke data path; produce one `.npz` cache.</x:v>
      </x:c>
      <x:c r="F2" s="14" t="str">
        <x:v>Short note: what event fields were parsed, what was uncertain, what was dropped.</x:v>
      </x:c>
      <x:c r="G2" s="14" t="str">
        <x:v>Synthetic first; then one `.fif` + one `.mat` when available.</x:v>
      </x:c>
      <x:c r="H2" s="14" t="str">
        <x:v>Window extraction only; no model yet.</x:v>
      </x:c>
      <x:c r="I2" s="14" t="str">
        <x:v>events found / kept / dropped; output shape; reproducibility.</x:v>
      </x:c>
      <x:c r="J2" s="14" t="str">
        <x:v>Tests pass; CLI help works; one tiny cache can be produced; blockers documented.</x:v>
      </x:c>
      <x:c r="K2" s="14" t="str">
        <x:v>Done</x:v>
      </x:c>
      <x:c r="L2" s="14" t="str">
        <x:v>P0</x:v>
      </x:c>
      <x:c r="M2" s="14" t="str">
        <x:v>Codex</x:v>
      </x:c>
      <x:c r="N2" s="14" t="str">
        <x:v>S</x:v>
      </x:c>
      <x:c r="O2" s="14" t="str">
        <x:v>PR1 merged</x:v>
      </x:c>
      <x:c r="P2" s="14" t="str">
        <x:v>Low</x:v>
      </x:c>
      <x:c r="Q2" s="14" t="str">
        <x:v>Read PR1 diff, run tests, generate one synthetic cache, then attempt real one-block extraction only if files exist.</x:v>
      </x:c>
      <x:c r="R2" s="14" t="str">
        <x:v>Synthetic smoke path closed on 2026-06-29. Tests and CLI help passed; real extraction blocked until one explicit .fif/.mat pair is present.</x:v>
      </x:c>
      <x:c r="S2" s="16" t="n">
        <x:f>IF(K2="Done",1,IF(K2="Review",0.8,IF(K2="In Progress",0.5,IF(K2="Blocked",0.2,IF(K2="Parked",0.1,0)))))</x:f>
        <x:v>1</x:v>
      </x:c>
      <x:c r="T2" s="14" t="str">
        <x:f>IF(K2="Blocked","Fix blocker",IF(K2="Review","Review/merge",IF(K2="Parked","Parked",IF(AND(L2="P0",K2="Not Started"),"Next candidate",IF(K2="Done","Closed","Normal")))))</x:f>
        <x:v>Closed</x:v>
      </x:c>
    </x:row>
    <x:row r="3" ht="68" customHeight="1">
      <x:c r="A3" s="14" t="n">
        <x:v>2</x:v>
      </x:c>
      <x:c r="B3" s="14" t="str">
        <x:v>Foundation</x:v>
      </x:c>
      <x:c r="C3" s="14" t="str">
        <x:v>SpanishBCBL Manifest v1</x:v>
      </x:c>
      <x:c r="D3" s="14" t="str">
        <x:v>Can we map subject/session/block/log files before downloading anything large?</x:v>
      </x:c>
      <x:c r="E3" s="14" t="str">
        <x:v>Improve manifest parser with size, modality, subject/session/block, candidate log pairing, and warnings.</x:v>
      </x:c>
      <x:c r="F3" s="14" t="str">
        <x:v>Manifest QA note: ambiguous file patterns, missing logs, naming assumptions.</x:v>
      </x:c>
      <x:c r="G3" s="14" t="str">
        <x:v>Remote file list only; no large file download.</x:v>
      </x:c>
      <x:c r="H3" s="14" t="str">
        <x:v>Path parsing + heuristics + unit tests.</x:v>
      </x:c>
      <x:c r="I3" s="14" t="str">
        <x:v>% files classified; number of ambiguous paths.</x:v>
      </x:c>
      <x:c r="J3" s="14" t="str">
        <x:v>Manifest covers expected MEG/EEG/log file families; ambiguous rows are explicit.</x:v>
      </x:c>
      <x:c r="K3" s="14" t="str">
        <x:v>Done</x:v>
      </x:c>
      <x:c r="L3" s="14" t="str">
        <x:v>P0</x:v>
      </x:c>
      <x:c r="M3" s="14" t="str">
        <x:v>Codex</x:v>
      </x:c>
      <x:c r="N3" s="14" t="str">
        <x:v>S</x:v>
      </x:c>
      <x:c r="O3" s="14" t="str">
        <x:v>Loop 1</x:v>
      </x:c>
      <x:c r="P3" s="14" t="str">
        <x:v>Medium</x:v>
      </x:c>
      <x:c r="Q3" s="14" t="str">
        <x:v>Harden `manifest-from-paths` and produce a manifest summary with explicit unknowns rather than guessing.</x:v>
      </x:c>
      <x:c r="R3" s="14" t="str">
        <x:v>Manifest v1 closed on 2026-06-29. Rows now include family/warnings, optional sizes, and raw/log pairing summaries.</x:v>
      </x:c>
      <x:c r="S3" s="16" t="n">
        <x:f>IF(K3="Done",1,IF(K3="Review",0.8,IF(K3="In Progress",0.5,IF(K3="Blocked",0.2,IF(K3="Parked",0.1,0)))))</x:f>
        <x:v>1</x:v>
      </x:c>
      <x:c r="T3" s="14" t="str">
        <x:f>IF(K3="Blocked","Fix blocker",IF(K3="Review","Review/merge",IF(K3="Parked","Parked",IF(AND(L3="P0",K3="Not Started"),"Next candidate",IF(K3="Done","Closed","Normal")))))</x:f>
        <x:v>Closed</x:v>
      </x:c>
    </x:row>
    <x:row r="4" ht="68" customHeight="1">
      <x:c r="A4" s="14" t="n">
        <x:v>3</x:v>
      </x:c>
      <x:c r="B4" s="14" t="str">
        <x:v>Foundation</x:v>
      </x:c>
      <x:c r="C4" s="14" t="str">
        <x:v>Safe Tiny-Shard Selector</x:v>
      </x:c>
      <x:c r="D4" s="14" t="str">
        <x:v>Can a user request the smallest meaningful shard without accidentally downloading the universe?</x:v>
      </x:c>
      <x:c r="E4" s="14" t="str">
        <x:v>Add size-aware selection, max-files, max-total-GB, and required `--execute` for downloads.</x:v>
      </x:c>
      <x:c r="F4" s="14" t="str">
        <x:v>Tiny-shard selection policy and default safety limits.</x:v>
      </x:c>
      <x:c r="G4" s="14" t="str">
        <x:v>File manifest + selected MEG/log files.</x:v>
      </x:c>
      <x:c r="H4" s="14" t="str">
        <x:v>Selection constraints and dry-run report.</x:v>
      </x:c>
      <x:c r="I4" s="14" t="str">
        <x:v>planned GB; file count; expected cache shape.</x:v>
      </x:c>
      <x:c r="J4" s="14" t="str">
        <x:v>Dry run prints exact files and size estimate; real download requires explicit confirmation.</x:v>
      </x:c>
      <x:c r="K4" s="14" t="str">
        <x:v>Done</x:v>
      </x:c>
      <x:c r="L4" s="14" t="str">
        <x:v>P0</x:v>
      </x:c>
      <x:c r="M4" s="14" t="str">
        <x:v>Codex</x:v>
      </x:c>
      <x:c r="N4" s="14" t="str">
        <x:v>S</x:v>
      </x:c>
      <x:c r="O4" s="14" t="str">
        <x:v>Loop 2</x:v>
      </x:c>
      <x:c r="P4" s="14" t="str">
        <x:v>Low</x:v>
      </x:c>
      <x:c r="Q4" s="14" t="str">
        <x:v>Make the tiny selector safety-first: max bytes, max files, dry-run default, and clear planned download report.</x:v>
      </x:c>
      <x:c r="R4" s="14" t="str">
        <x:v>Safe selector closed on 2026-06-29. Plans now include caps, exact paths, known bytes, missing-size warnings, dry-run default, and execute guards.</x:v>
      </x:c>
      <x:c r="S4" s="16" t="n">
        <x:f>IF(K4="Done",1,IF(K4="Review",0.8,IF(K4="In Progress",0.5,IF(K4="Blocked",0.2,IF(K4="Parked",0.1,0)))))</x:f>
        <x:v>1</x:v>
      </x:c>
      <x:c r="T4" s="14" t="str">
        <x:f>IF(K4="Blocked","Fix blocker",IF(K4="Review","Review/merge",IF(K4="Parked","Parked",IF(AND(L4="P0",K4="Not Started"),"Next candidate",IF(K4="Done","Closed","Normal")))))</x:f>
        <x:v>Closed</x:v>
      </x:c>
    </x:row>
    <x:row r="5" ht="68" customHeight="1">
      <x:c r="A5" s="14" t="n">
        <x:v>4</x:v>
      </x:c>
      <x:c r="B5" s="14" t="str">
        <x:v>Foundation</x:v>
      </x:c>
      <x:c r="C5" s="14" t="str">
        <x:v>B2Q-mini Cache v0</x:v>
      </x:c>
      <x:c r="D5" s="14" t="str">
        <x:v>Can one selected block become a reusable tiny cache with enough provenance to trust later results?</x:v>
      </x:c>
      <x:c r="E5" s="14" t="str">
        <x:v>Create `.npz` cache schema v0 and optional metadata sidecar JSON.</x:v>
      </x:c>
      <x:c r="F5" s="14" t="str">
        <x:v>Cache schema spec: windows, labels, event metadata, sfreq, channels, source paths, params.</x:v>
      </x:c>
      <x:c r="G5" s="14" t="str">
        <x:v>One synthetic cache; optional one real block.</x:v>
      </x:c>
      <x:c r="H5" s="14" t="str">
        <x:v>NPZ cache + JSON metadata.</x:v>
      </x:c>
      <x:c r="I5" s="14" t="str">
        <x:v>cache size; load time; shape; label coverage.</x:v>
      </x:c>
      <x:c r="J5" s="14" t="str">
        <x:v>Cache loads with one function; metadata explains every transformation.</x:v>
      </x:c>
      <x:c r="K5" s="14" t="str">
        <x:v>Done</x:v>
      </x:c>
      <x:c r="L5" s="14" t="str">
        <x:v>P0</x:v>
      </x:c>
      <x:c r="M5" s="14" t="str">
        <x:v>Codex</x:v>
      </x:c>
      <x:c r="N5" s="14" t="str">
        <x:v>M</x:v>
      </x:c>
      <x:c r="O5" s="14" t="str">
        <x:v>Loops 1-3</x:v>
      </x:c>
      <x:c r="P5" s="14" t="str">
        <x:v>Medium</x:v>
      </x:c>
      <x:c r="Q5" s="14" t="str">
        <x:v>Define the first stable tiny-cache schema and add a `load-cache` smoke command or test.</x:v>
      </x:c>
      <x:c r="R5" s="14" t="str">
        <x:v>Cache schema v0 closed on 2026-06-29. NPZ caches now load through one schema-aware function with validation, transformations, warnings, and sidecar metadata.</x:v>
      </x:c>
      <x:c r="S5" s="16" t="n">
        <x:f>IF(K5="Done",1,IF(K5="Review",0.8,IF(K5="In Progress",0.5,IF(K5="Blocked",0.2,IF(K5="Parked",0.1,0)))))</x:f>
        <x:v>1</x:v>
      </x:c>
      <x:c r="T5" s="14" t="str">
        <x:f>IF(K5="Blocked","Fix blocker",IF(K5="Review","Review/merge",IF(K5="Parked","Parked",IF(AND(L5="P0",K5="Not Started"),"Next candidate",IF(K5="Done","Closed","Normal")))))</x:f>
        <x:v>Closed</x:v>
      </x:c>
    </x:row>
    <x:row r="6" ht="68" customHeight="1">
      <x:c r="A6" s="14" t="n">
        <x:v>5</x:v>
      </x:c>
      <x:c r="B6" s="14" t="str">
        <x:v>Foundation</x:v>
      </x:c>
      <x:c r="C6" s="14" t="str">
        <x:v>Metrics + Error Report v1</x:v>
      </x:c>
      <x:c r="D6" s="14" t="str">
        <x:v>Can every run produce an honest report without needing a notebook?</x:v>
      </x:c>
      <x:c r="E6" s="14" t="str">
        <x:v>Add `neurodecode report` that computes CER, WER, keyboard distance, and simple run metadata.</x:v>
      </x:c>
      <x:c r="F6" s="14" t="str">
        <x:v>Metric definitions and when each metric is misleading.</x:v>
      </x:c>
      <x:c r="G6" s="14" t="str">
        <x:v>Synthetic predictions; later tiny real predictions.</x:v>
      </x:c>
      <x:c r="H6" s="14" t="str">
        <x:v>CER/WER + keyboard distance diagnostics.</x:v>
      </x:c>
      <x:c r="I6" s="14" t="str">
        <x:v>CER; WER; avg keyboard distance; coverage.</x:v>
      </x:c>
      <x:c r="J6" s="14" t="str">
        <x:v>Report runs from CLI and writes JSON/Markdown; metric tests pass.</x:v>
      </x:c>
      <x:c r="K6" s="14" t="str">
        <x:v>Done</x:v>
      </x:c>
      <x:c r="L6" s="14" t="str">
        <x:v>P0</x:v>
      </x:c>
      <x:c r="M6" s="14" t="str">
        <x:v>Codex</x:v>
      </x:c>
      <x:c r="N6" s="14" t="str">
        <x:v>S</x:v>
      </x:c>
      <x:c r="O6" s="14" t="str">
        <x:v>Loop 4</x:v>
      </x:c>
      <x:c r="P6" s="14" t="str">
        <x:v>Low</x:v>
      </x:c>
      <x:c r="Q6" s="14" t="str">
        <x:v>Build a report command that turns predictions + targets into a simple JSON/Markdown scorecard.</x:v>
      </x:c>
      <x:c r="R6" s="14" t="str"/>
      <x:c r="S6" s="16" t="n">
        <x:f>IF(K6="Done",1,IF(K6="Review",0.8,IF(K6="In Progress",0.5,IF(K6="Blocked",0.2,IF(K6="Parked",0.1,0)))))</x:f>
        <x:v>1</x:v>
      </x:c>
      <x:c r="T6" s="14" t="str">
        <x:f>IF(K6="Blocked","Fix blocker",IF(K6="Review","Review/merge",IF(K6="Parked","Parked",IF(AND(L6="P0",K6="Not Started"),"Next candidate",IF(K6="Done","Closed","Normal")))))</x:f>
        <x:v>Closed</x:v>
      </x:c>
    </x:row>
    <x:row r="7" ht="68" customHeight="1">
      <x:c r="A7" s="14" t="n">
        <x:v>6</x:v>
      </x:c>
      <x:c r="B7" s="14" t="str">
        <x:v>Baselines</x:v>
      </x:c>
      <x:c r="C7" s="14" t="str">
        <x:v>LM-only / Prior-only Baseline</x:v>
      </x:c>
      <x:c r="D7" s="14" t="str">
        <x:v>How much performance comes from language priors before using brain data?</x:v>
      </x:c>
      <x:c r="E7" s="14" t="str">
        <x:v>Implement baseline that predicts from label distribution, prompts, or known sentence set without neural signal.</x:v>
      </x:c>
      <x:c r="F7" s="14" t="str">
        <x:v>Baseline note: what a model can guess without MEG/EEG.</x:v>
      </x:c>
      <x:c r="G7" s="14" t="str">
        <x:v>Synthetic and tiny cache labels.</x:v>
      </x:c>
      <x:c r="H7" s="14" t="str">
        <x:v>Prior-only baseline; optional n-gram/known-corpus baseline.</x:v>
      </x:c>
      <x:c r="I7" s="14" t="str">
        <x:v>CER/WER vs neural models later.</x:v>
      </x:c>
      <x:c r="J7" s="14" t="str">
        <x:v>Baseline exists and is reported beside every neural result.</x:v>
      </x:c>
      <x:c r="K7" s="14" t="str">
        <x:v>Done</x:v>
      </x:c>
      <x:c r="L7" s="14" t="str">
        <x:v>P0</x:v>
      </x:c>
      <x:c r="M7" s="14" t="str">
        <x:v>Codex</x:v>
      </x:c>
      <x:c r="N7" s="14" t="str">
        <x:v>S</x:v>
      </x:c>
      <x:c r="O7" s="14" t="str">
        <x:v>Loop 5</x:v>
      </x:c>
      <x:c r="P7" s="14" t="str">
        <x:v>Low</x:v>
      </x:c>
      <x:c r="Q7" s="14" t="str">
        <x:v>Implement an intentionally dumb but critical no-brain baseline and wire it into the report.</x:v>
      </x:c>
      <x:c r="R7" s="14" t="str">
        <x:v>Prior-only baseline closed on 2026-07-01. Report warns no neural signal used.</x:v>
      </x:c>
      <x:c r="S7" s="16" t="n">
        <x:f>IF(K7="Done",1,IF(K7="Review",0.8,IF(K7="In Progress",0.5,IF(K7="Blocked",0.2,IF(K7="Parked",0.1,0)))))</x:f>
        <x:v>1</x:v>
      </x:c>
      <x:c r="T7" s="14" t="str">
        <x:f>IF(K7="Blocked","Fix blocker",IF(K7="Review","Review/merge",IF(K7="Parked","Parked",IF(AND(L7="P0",K7="Not Started"),"Next candidate",IF(K7="Done","Closed","Normal")))))</x:f>
        <x:v>Closed</x:v>
      </x:c>
    </x:row>
    <x:row r="8" ht="68" customHeight="1">
      <x:c r="A8" s="14" t="n">
        <x:v>7</x:v>
      </x:c>
      <x:c r="B8" s="14" t="str">
        <x:v>Baselines</x:v>
      </x:c>
      <x:c r="C8" s="14" t="str">
        <x:v>Template / Nearest-Centroid Baseline</x:v>
      </x:c>
      <x:c r="D8" s="14" t="str">
        <x:v>Is there separable signal in the windows before deep learning?</x:v>
      </x:c>
      <x:c r="E8" s="14" t="str">
        <x:v>Train/eval nearest-centroid or template classifier over windows/features.</x:v>
      </x:c>
      <x:c r="F8" s="14" t="str">
        <x:v>Result note: which labels/classes are separable and which are noise.</x:v>
      </x:c>
      <x:c r="G8" s="14" t="str">
        <x:v>B2Q-mini cache.</x:v>
      </x:c>
      <x:c r="H8" s="14" t="str">
        <x:v>Mean features, templates, centroid distance.</x:v>
      </x:c>
      <x:c r="I8" s="14" t="str">
        <x:v>accuracy; CER proxy if labels map to chars; confusion table.</x:v>
      </x:c>
      <x:c r="J8" s="14" t="str">
        <x:v>Model trains in seconds and produces a baseline report.</x:v>
      </x:c>
      <x:c r="K8" s="14" t="str">
        <x:v>Done</x:v>
      </x:c>
      <x:c r="L8" s="14" t="str">
        <x:v>P1</x:v>
      </x:c>
      <x:c r="M8" s="14" t="str">
        <x:v>Codex</x:v>
      </x:c>
      <x:c r="N8" s="14" t="str">
        <x:v>S</x:v>
      </x:c>
      <x:c r="O8" s="14" t="str">
        <x:v>Loops 4-5</x:v>
      </x:c>
      <x:c r="P8" s="14" t="str">
        <x:v>Low</x:v>
      </x:c>
      <x:c r="Q8" s="14" t="str">
        <x:v>Build a tiny transparent classifier before any neural net. Make it boring and trustworthy.</x:v>
      </x:c>
      <x:c r="R8" s="14" t="str">
        <x:v>Template baseline closed on 2026-07-01. Stratified synthetic holdout report warns synthetic data only.</x:v>
      </x:c>
      <x:c r="S8" s="16" t="n">
        <x:f>IF(K8="Done",1,IF(K8="Review",0.8,IF(K8="In Progress",0.5,IF(K8="Blocked",0.2,IF(K8="Parked",0.1,0)))))</x:f>
        <x:v>1</x:v>
      </x:c>
      <x:c r="T8" s="14" t="str">
        <x:f>IF(K8="Blocked","Fix blocker",IF(K8="Review","Review/merge",IF(K8="Parked","Parked",IF(AND(L8="P0",K8="Not Started"),"Next candidate",IF(K8="Done","Closed","Normal")))))</x:f>
        <x:v>Closed</x:v>
      </x:c>
    </x:row>
    <x:row r="9" ht="68" customHeight="1">
      <x:c r="A9" s="14" t="n">
        <x:v>8</x:v>
      </x:c>
      <x:c r="B9" s="14" t="str">
        <x:v>Baselines</x:v>
      </x:c>
      <x:c r="C9" s="14" t="str">
        <x:v>Tiny Conv / EEGNet-style Baseline</x:v>
      </x:c>
      <x:c r="D9" s="14" t="str">
        <x:v>Can a small neural model beat transparent baselines on the tiny loop?</x:v>
      </x:c>
      <x:c r="E9" s="14" t="str">
        <x:v>Add PyTorch optional tiny ConvNet baseline with CPU-friendly defaults.</x:v>
      </x:c>
      <x:c r="F9" s="14" t="str">
        <x:v>Model card: params, training time, expected failure modes.</x:v>
      </x:c>
      <x:c r="G9" s="14" t="str">
        <x:v>B2Q-mini cache.</x:v>
      </x:c>
      <x:c r="H9" s="14" t="str">
        <x:v>Small ConvNet / EEGNet-inspired classifier.</x:v>
      </x:c>
      <x:c r="I9" s="14" t="str">
        <x:v>validation accuracy; CER/WER if sequence labels exist.</x:v>
      </x:c>
      <x:c r="J9" s="14" t="str">
        <x:v>Trains on synthetic data in CI-like smoke mode; real data path documented.</x:v>
      </x:c>
      <x:c r="K9" s="14" t="str">
        <x:v>Done</x:v>
      </x:c>
      <x:c r="L9" s="14" t="str">
        <x:v>P1</x:v>
      </x:c>
      <x:c r="M9" s="14" t="str">
        <x:v>Codex</x:v>
      </x:c>
      <x:c r="N9" s="14" t="str">
        <x:v>M</x:v>
      </x:c>
      <x:c r="O9" s="14" t="str">
        <x:v>Loop 7</x:v>
      </x:c>
      <x:c r="P9" s="14" t="str">
        <x:v>Medium</x:v>
      </x:c>
      <x:c r="Q9" s="14" t="str">
        <x:v>Add a tiny neural baseline without making the package heavy; optional deps and fast smoke test only.</x:v>
      </x:c>
      <x:c r="R9" s="14" t="str">
        <x:v>Tiny Conv baseline closed on 2026-07-01. Torch training smoke is present but skipped locally because the ml extra is not installed.</x:v>
      </x:c>
      <x:c r="S9" s="16" t="n">
        <x:f>IF(K9="Done",1,IF(K9="Review",0.8,IF(K9="In Progress",0.5,IF(K9="Blocked",0.2,IF(K9="Parked",0.1,0)))))</x:f>
        <x:v>1</x:v>
      </x:c>
      <x:c r="T9" s="14" t="str">
        <x:f>IF(K9="Blocked","Fix blocker",IF(K9="Review","Review/merge",IF(K9="Parked","Parked",IF(AND(L9="P0",K9="Not Started"),"Next candidate",IF(K9="Done","Closed","Normal")))))</x:f>
        <x:v>Closed</x:v>
      </x:c>
    </x:row>
    <x:row r="10" ht="108" customHeight="1">
      <x:c r="A10" s="14" t="n">
        <x:v>9</x:v>
      </x:c>
      <x:c r="B10" s="14" t="str">
        <x:v>Baselines</x:v>
      </x:c>
      <x:c r="C10" s="14" t="str">
        <x:v>CTC Character Decoder Scaffold</x:v>
      </x:c>
      <x:c r="D10" s="14" t="str">
        <x:v>Can a resource-bounded continuous sentence decoder learn sequence alignment without keystroke timing?</x:v>
      </x:c>
      <x:c r="E10" s="14" t="str">
        <x:v>Add a continuous sentence-window cache interface and optional tiny CTC model; prove synthetic training, then run one validated S21 block smoke.</x:v>
      </x:c>
      <x:c r="F10" s="14" t="str">
        <x:v>CTC feasibility and official Brain2Qwerty v2 mapping note, including data, compute, latency, and hardware gaps.</x:v>
      </x:c>
      <x:c r="G10" s="14" t="str">
        <x:v>Synthetic sequence data plus validated S21 session-1 block1: 66 trials; 16-channel extraction smoke.</x:v>
      </x:c>
      <x:c r="H10" s="14" t="str">
        <x:v>Tiny Conv/CTC encoder with padded variable-length sentence batches; CPU-safe smoke defaults.</x:v>
      </x:c>
      <x:c r="I10" s="14" t="str">
        <x:v>CER; blank rate; input/target lengths; runtime; peak memory; cache bytes.</x:v>
      </x:c>
      <x:c r="J10" s="14" t="str">
        <x:v>Synthetic CTC loop trains; one sentence-level real cache validates shapes and labels; no real decoding-performance claim.</x:v>
      </x:c>
      <x:c r="K10" s="14" t="str">
        <x:v>Done</x:v>
      </x:c>
      <x:c r="L10" s="14" t="str">
        <x:v>P1</x:v>
      </x:c>
      <x:c r="M10" s="14" t="str">
        <x:v>Codex</x:v>
      </x:c>
      <x:c r="N10" s="14" t="str">
        <x:v>M</x:v>
      </x:c>
      <x:c r="O10" s="14" t="str">
        <x:v>Loop 8 plus Loop 8.5 real alignment gate</x:v>
      </x:c>
      <x:c r="P10" s="14" t="str">
        <x:v>Medium</x:v>
      </x:c>
      <x:c r="Q10" s="14" t="str">
        <x:v>Build a CPU-bounded continuous sentence cache and minimal CTC scaffold from the validated S21 block1. Keep Torch optional, preserve the no-brain comparator, and report shape, bytes, runtime, memory, CER, and blank rate.</x:v>
      </x:c>
      <x:c r="R10" s="14" t="str">
        <x:v>Loop 9 closed 2026-07-10: b2q-sentence-cache v0; synthetic CTC 20/20 seeds at CER 0.0 with one training-only restart; prior CER 0.7068; real S21 cache 66x16x617, 1.6 MB, 6.24 sec, about 515 MiB peak RSS. No real model score.</x:v>
      </x:c>
      <x:c r="S10" s="16" t="n">
        <x:f>IF(K10="Done",1,IF(K10="Review",0.8,IF(K10="In Progress",0.5,IF(K10="Blocked",0.2,IF(K10="Parked",0.1,0)))))</x:f>
        <x:v>1</x:v>
      </x:c>
      <x:c r="T10" s="14" t="str">
        <x:f>IF(K10="Blocked","Fix blocker",IF(K10="Review","Review/merge",IF(K10="Parked","Parked",IF(AND(L10="P0",K10="Not Started"),"Next candidate",IF(K10="Done","Closed","Normal")))))</x:f>
        <x:v>Closed</x:v>
      </x:c>
    </x:row>
    <x:row r="11" ht="120" customHeight="1">
      <x:c r="A11" s="14" t="n">
        <x:v>10</x:v>
      </x:c>
      <x:c r="B11" s="14" t="str">
        <x:v>Compression</x:v>
      </x:c>
      <x:c r="C11" s="14" t="str">
        <x:v>Sampling-Rate Sweep</x:v>
      </x:c>
      <x:c r="D11" s="14" t="str">
        <x:v>How low can sampling rate go before the tiny-loop signal breaks?</x:v>
      </x:c>
      <x:c r="E11" s="14" t="str">
        <x:v>Add experiment runner for 1000/500/250/100/50 Hz or available equivalents.</x:v>
      </x:c>
      <x:c r="F11" s="14" t="str">
        <x:v>Resource curve: cache bytes, timepoints, effective bandwidth, timing grid, signal summaries, and CTC feasibility; no retained-accuracy claim.</x:v>
      </x:c>
      <x:c r="G11" s="14" t="str">
        <x:v>Validated S21 block1, same 16 channels, 100/50/25 Hz; no additional download.</x:v>
      </x:c>
      <x:c r="H11" s="14" t="str">
        <x:v>Sequential isolated sentence-cache workers plus strict cross-rate identity and feasibility audit.</x:v>
      </x:c>
      <x:c r="I11" s="14" t="str">
        <x:v>cache bytes; runtime; peak RSS; bandwidth; boundary quantization; signal RMS/clamp; stride-one and official v2 CTC margins</x:v>
      </x:c>
      <x:c r="J11" s="14" t="str">
        <x:v>One JSON/Markdown report compares identical 66-row, 16-channel 100/50/25 Hz caches and audits the official temporal contract; no accuracy winner is selected.</x:v>
      </x:c>
      <x:c r="K11" s="14" t="str">
        <x:v>Done</x:v>
      </x:c>
      <x:c r="L11" s="14" t="str">
        <x:v>P1</x:v>
      </x:c>
      <x:c r="M11" s="14" t="str">
        <x:v>Codex</x:v>
      </x:c>
      <x:c r="N11" s="14" t="str">
        <x:v>M</x:v>
      </x:c>
      <x:c r="O11" s="14" t="str">
        <x:v>Loop 9 real sentence cache</x:v>
      </x:c>
      <x:c r="P11" s="14" t="str">
        <x:v>Medium</x:v>
      </x:c>
      <x:c r="Q11" s="14" t="str">
        <x:v>Run isolated one-thread 100/50/25 Hz sentence-cache extraction from validated S21 block1; verify exact identity and report resource, bandwidth, timing, signal, and CTC constraints without training.</x:v>
      </x:c>
      <x:c r="R11" s="14" t="str">
        <x:v>Loop 10 closed 2026-07-10. 100/50/25 Hz caches: 1,663,209 / 846,334 / 431,451 bytes; final run 4.121 / 3.586 / 3.539 sec. Stride-one: all 66/66 feasible. Official v2 kernel16/stride4: 66/66, 66/66, 0/66. No accuracy winner selected.</x:v>
      </x:c>
      <x:c r="S11" s="16" t="n">
        <x:f>IF(K11="Done",1,IF(K11="Review",0.8,IF(K11="In Progress",0.5,IF(K11="Blocked",0.2,IF(K11="Parked",0.1,0)))))</x:f>
        <x:v>1</x:v>
      </x:c>
      <x:c r="T11" s="14" t="str">
        <x:f>IF(K11="Blocked","Fix blocker",IF(K11="Review","Review/merge",IF(K11="Parked","Parked",IF(AND(L11="P0",K11="Not Started"),"Next candidate",IF(K11="Done","Closed","Normal")))))</x:f>
        <x:v>Closed</x:v>
      </x:c>
    </x:row>
    <x:row r="12" ht="120" customHeight="1">
      <x:c r="A12" s="14" t="n">
        <x:v>11</x:v>
      </x:c>
      <x:c r="B12" s="14" t="str">
        <x:v>Compression</x:v>
      </x:c>
      <x:c r="C12" s="14" t="str">
        <x:v>Channel / Sensor Subset Sweep</x:v>
      </x:c>
      <x:c r="D12" s="14" t="str">
        <x:v>Can explicit geometry-aware channel subsets reduce local input cost while preserving distinct signal proxies?</x:v>
      </x:c>
      <x:c r="E12" s="14" t="str">
        <x:v>Add channel geometry provenance and `channel-subset-sweep` with spatial-FPS, variance, seeded-random, and file-order strategies plus a 128 MiB cap.</x:v>
      </x:c>
      <x:c r="F12" s="14" t="str">
        <x:v>Real S21 channel-subset report anchored to the official v2 random-sensor ablation, with proxy and hardware caveats.</x:v>
      </x:c>
      <x:c r="G12" s="14" t="str">
        <x:v>Validated S21 session-1 block1: 66 sentences, 102 magnetometers, 100 Hz; no additional download.</x:v>
      </x:c>
      <x:c r="H12" s="14" t="str">
        <x:v>Nested 76/51/25/16/8-channel subsets using spatial FPS, same-block post-scaling variance, seed-17 random, and first-order controls.</x:v>
      </x:c>
      <x:c r="I12" s="14" t="str">
        <x:v>cache bytes; runtime/RSS; marginal variance share; mean/max spatial coverage; set overlap; exact trial/text/timing identity; no decoder score</x:v>
      </x:c>
      <x:c r="J12" s="14" t="str">
        <x:v>One finite-geometry 102-mag base and 20 subset caches stay under 128 MiB, preserve exact identity and signal slices, and yield candidates without claiming an accuracy winner.</x:v>
      </x:c>
      <x:c r="K12" s="14" t="str">
        <x:v>Done</x:v>
      </x:c>
      <x:c r="L12" s="14" t="str">
        <x:v>P1</x:v>
      </x:c>
      <x:c r="M12" s="14" t="str">
        <x:v>Codex</x:v>
      </x:c>
      <x:c r="N12" s="14" t="str">
        <x:v>M</x:v>
      </x:c>
      <x:c r="O12" s="14" t="str">
        <x:v>Loop 10 100 Hz cache plus validated S21 raw geometry</x:v>
      </x:c>
      <x:c r="P12" s="14" t="str">
        <x:v>Medium</x:v>
      </x:c>
      <x:c r="Q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  <x:c r="R12" s="14" t="str">
        <x:v>Closed 2026-07-10. Base 66x102x617: 10,602,568 B, 12.004 s, 1,679,278,080 B peak RSS. Sweep: 3.492 s and 73,683,875 B. At 16 channels, FPS mean/max coverage was 34.9/69.8 mm with 14.8% variance share; variance was 56.6/140.3 mm with 21.3%; first-order was 102.2/219.3 mm. Exact identities passed; no accuracy winner.</x:v>
      </x:c>
      <x:c r="S12" s="16" t="n">
        <x:f>IF(K12="Done",1,IF(K12="Review",0.8,IF(K12="In Progress",0.5,IF(K12="Blocked",0.2,IF(K12="Parked",0.1,0)))))</x:f>
        <x:v>1</x:v>
      </x:c>
      <x:c r="T12" s="14" t="str">
        <x:f>IF(K12="Blocked","Fix blocker",IF(K12="Review","Review/merge",IF(K12="Parked","Parked",IF(AND(L12="P0",K12="Not Started"),"Next candidate",IF(K12="Done","Closed","Normal")))))</x:f>
        <x:v>Closed</x:v>
      </x:c>
    </x:row>
    <x:row r="13" ht="68" customHeight="1">
      <x:c r="A13" s="14" t="n">
        <x:v>12</x:v>
      </x:c>
      <x:c r="B13" s="14" t="str">
        <x:v>Compression</x:v>
      </x:c>
      <x:c r="C13" s="14" t="str">
        <x:v>Precision + Storage Sweep</x:v>
      </x:c>
      <x:c r="D13" s="14" t="str">
        <x:v>Can we reduce local cache and load cost while bounding signal distortion before any decoder test?</x:v>
      </x:c>
      <x:c r="E13" s="14" t="str">
        <x:v>Add a representation runner for float32, float16, and calibrated integer/serialization variants without changing the sentence-cache contract.</x:v>
      </x:c>
      <x:c r="F13" s="14" t="str">
        <x:v>Storage/distortion report covering bytes, encode/load time, reconstruction error, saturation, and proof limits.</x:v>
      </x:c>
      <x:c r="G13" s="14" t="str">
        <x:v>Fixed Loop 11 102-mag base plus 16-channel FPS and variance candidate caches; no new download.</x:v>
      </x:c>
      <x:c r="H13" s="14" t="str">
        <x:v>Deterministic encode/decode variants over identical arrays; no model training.</x:v>
      </x:c>
      <x:c r="I13" s="14" t="str">
        <x:v>bytes; compression ratio; encode/load time; reconstruction RMSE/max error; saturation; exact metadata identity</x:v>
      </x:c>
      <x:c r="J13" s="14" t="str">
        <x:v>At least three representations preserve schema and trial identity, stay within an explicit output cap, and report distortion without declaring retained decoder accuracy.</x:v>
      </x:c>
      <x:c r="K13" s="14" t="str">
        <x:v>Done</x:v>
      </x:c>
      <x:c r="L13" s="14" t="str">
        <x:v>P1</x:v>
      </x:c>
      <x:c r="M13" s="14" t="str">
        <x:v>Codex</x:v>
      </x:c>
      <x:c r="N13" s="14" t="str">
        <x:v>M</x:v>
      </x:c>
      <x:c r="O13" s="14" t="str">
        <x:v>Loop 11 geometry-aware subset caches</x:v>
      </x:c>
      <x:c r="P13" s="14" t="str">
        <x:v>Medium</x:v>
      </x:c>
      <x:c r="Q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  <x:c r="R13" s="14" t="str">
        <x:v>Closed 2026-07-10. Five encodings across base/FPS-16/variance-16 produced 15 exact-identity artifacts in 34.4 MiB. Qint16 was 49.84% smaller with worst relative RMSE 0.003693%; qint8 was 80.75% smaller with worst relative RMSE 0.9531%. No clipping or decoder accuracy claim; float32 remains default.</x:v>
      </x:c>
      <x:c r="S13" s="16" t="n">
        <x:f>IF(K13="Done",1,IF(K13="Review",0.8,IF(K13="In Progress",0.5,IF(K13="Blocked",0.2,IF(K13="Parked",0.1,0)))))</x:f>
        <x:v>1</x:v>
      </x:c>
      <x:c r="T13" s="14" t="str">
        <x:f>IF(K13="Blocked","Fix blocker",IF(K13="Review","Review/merge",IF(K13="Parked","Parked",IF(AND(L13="P0",K13="Not Started"),"Next candidate",IF(K13="Done","Closed","Normal")))))</x:f>
        <x:v>Closed</x:v>
      </x:c>
    </x:row>
    <x:row r="14" ht="68" customHeight="1">
      <x:c r="A14" s="14" t="n">
        <x:v>13</x:v>
      </x:c>
      <x:c r="B14" s="14" t="str">
        <x:v>Compression</x:v>
      </x:c>
      <x:c r="C14" s="14" t="str">
        <x:v>Measured Lazy-Backend Gate</x:v>
      </x:c>
      <x:c r="D14" s="14" t="str">
        <x:v>Is current NPZ complete/partial access materially limiting enough to justify another backend?</x:v>
      </x:c>
      <x:c r="E14" s="14" t="str">
        <x:v>Add an isolated NPZ access benchmark with explicit thresholds and only build another backend after a failed gate.</x:v>
      </x:c>
      <x:c r="F14" s="14" t="str">
        <x:v>Backend decision note separating relative partial-read inefficiency from absolute local cost, including a no-build outcome.</x:v>
      </x:c>
      <x:c r="G14" s="14" t="str">
        <x:v>Nine fixed Loop 11/12 real caches; no raw FIF read, new data download, or signal-cache write.</x:v>
      </x:c>
      <x:c r="H14" s="14" t="str">
        <x:v>Fresh one-thread workers for full, 1-row, and 8-row standard/packed NPZ access with exact decoded hashes.</x:v>
      </x:c>
      <x:c r="I14" s="14" t="str">
        <x:v>full/partial median time; peak RSS; compressed bytes; exact identity; implementation overhead</x:v>
      </x:c>
      <x:c r="J14" s="14" t="str">
        <x:v>A backend is built only after a failed declared gate; otherwise NPZ stays default with durable revisit triggers.</x:v>
      </x:c>
      <x:c r="K14" s="14" t="str">
        <x:v>Parked</x:v>
      </x:c>
      <x:c r="L14" s="14" t="str">
        <x:v>P2</x:v>
      </x:c>
      <x:c r="M14" s="14" t="str">
        <x:v>Codex</x:v>
      </x:c>
      <x:c r="N14" s="14" t="str">
        <x:v>M</x:v>
      </x:c>
      <x:c r="O14" s="14" t="str">
        <x:v>Loop 12</x:v>
      </x:c>
      <x:c r="P14" s="14" t="str">
        <x:v>Medium</x:v>
      </x:c>
      <x:c r="Q14" s="14" t="str">
        <x:v>Run the bounded NPZ access gate first. Record relative inefficiency and absolute time/memory/size separately; add no backend without a failed measured gate and exact semantic-parity plan.</x:v>
      </x:c>
      <x:c r="R14" s="14" t="str">
        <x:v>Closed 2026-07-10 as Parked. 9/9 caches passed exact hashes and all budgets. Largest 10.1 MiB; slowest full/partial 60.386/53.634 ms; highest worker RSS 140.6 MiB. One-row member amplification is 66x, but absolute cost is below budget. Zarr was not installed; proceed to Loop 14.</x:v>
      </x:c>
      <x:c r="S14" s="16" t="n">
        <x:f>IF(K14="Done",1,IF(K14="Review",0.8,IF(K14="In Progress",0.5,IF(K14="Blocked",0.2,IF(K14="Parked",0.1,0)))))</x:f>
        <x:v>0.1</x:v>
      </x:c>
      <x:c r="T14" s="14" t="str">
        <x:f>IF(K14="Blocked","Fix blocker",IF(K14="Review","Review/merge",IF(K14="Parked","Parked",IF(AND(L14="P0",K14="Not Started"),"Next candidate",IF(K14="Done","Closed","Normal")))))</x:f>
        <x:v>Parked</x:v>
      </x:c>
    </x:row>
    <x:row r="15" ht="132" customHeight="1">
      <x:c r="A15" s="14" t="n">
        <x:v>14</x:v>
      </x:c>
      <x:c r="B15" s="14" t="str">
        <x:v>Generalization</x:v>
      </x:c>
      <x:c r="C15" s="14" t="str">
        <x:v>Split Protocol v1</x:v>
      </x:c>
      <x:c r="D15" s="14" t="str">
        <x:v>Are repeated sentence texts or fit-on-eval transformations leaking information into validation/test results?</x:v>
      </x:c>
      <x:c r="E15" s="14" t="str">
        <x:v>Add deterministic sentence-text train/validation/test membership, explicit event/session/subject capability labels, membership hashes, and leakage validation.</x:v>
      </x:c>
      <x:c r="F15" s="14" t="str">
        <x:v>Protocol note mapping the official v2 80/10/10 text-group principle to inspectable local metadata and documenting stricter session/subject gates.</x:v>
      </x:c>
      <x:c r="G15" s="14" t="str">
        <x:v>Synthetic fixtures plus current 66-row S21 cache for plumbing only; no new download and no session/subject generalization claim.</x:v>
      </x:c>
      <x:c r="H15" s="14" t="str">
        <x:v>Pure-Python deterministic grouping, duplicate-text containment, train-only fitting rules, and report-level refusal of unsupported split claims.</x:v>
      </x:c>
      <x:c r="I15" s="14" t="str">
        <x:v>partition counts; group overlap; membership hash; unavailable metadata; fit-scope violations</x:v>
      </x:c>
      <x:c r="J15" s="14" t="str">
        <x:v>Every report names algorithm/version/group key; duplicate text never crosses partitions; unsupported session/subject splits fail or report unavailable; train-only fit scope is auditable.</x:v>
      </x:c>
      <x:c r="K15" s="14" t="str">
        <x:v>Done</x:v>
      </x:c>
      <x:c r="L15" s="14" t="str">
        <x:v>P0</x:v>
      </x:c>
      <x:c r="M15" s="14" t="str">
        <x:v>Codex</x:v>
      </x:c>
      <x:c r="N15" s="14" t="str">
        <x:v>S</x:v>
      </x:c>
      <x:c r="O15" s="14" t="str">
        <x:v>Loops 4-13</x:v>
      </x:c>
      <x:c r="P15" s="14" t="str">
        <x:v>Low</x:v>
      </x:c>
      <x:c r="Q15" s="14" t="str">
        <x:v>Keep the strict 55/6/5 membership and five source test rows frozen. The capped second-session gate is resolved by Loop 15; do not retune Loop 14 on either holdout.</x:v>
      </x:c>
      <x:c r="R15" s="14" t="str">
        <x:v>Closed 2026-07-10. Train-only scaler and exact report binding passed. Prior/tiny source-test CER 0.953488/0.947674 remained near-null. The second-session requirement is now resolved in Loop 15, whose fixed model fails transfer.</x:v>
      </x:c>
      <x:c r="S15" s="16" t="n">
        <x:f>IF(K15="Done",1,IF(K15="Review",0.8,IF(K15="In Progress",0.5,IF(K15="Blocked",0.2,IF(K15="Parked",0.1,0)))))</x:f>
        <x:v>1</x:v>
      </x:c>
      <x:c r="T15" s="14" t="str">
        <x:f>IF(K15="Blocked","Fix blocker",IF(K15="Review","Review/merge",IF(K15="Parked","Parked",IF(AND(L15="P0",K15="Not Started"),"Next candidate",IF(K15="Done","Closed","Normal")))))</x:f>
        <x:v>Closed</x:v>
      </x:c>
    </x:row>
    <x:row r="16" ht="210" customHeight="1">
      <x:c r="A16" s="14" t="n">
        <x:v>15</x:v>
      </x:c>
      <x:c r="B16" s="14" t="str">
        <x:v>Generalization</x:v>
      </x:c>
      <x:c r="C16" s="14" t="str">
        <x:v>Normalization + Adapter Baseline</x:v>
      </x:c>
      <x:c r="D16" s="14" t="str">
        <x:v>Can a tiny subject/session adapter improve stability without retraining everything?</x:v>
      </x:c>
      <x:c r="E16" s="14" t="str">
        <x:v>Zero-parameter robust channel-affine adapter and bounded synthetic gate runner.</x:v>
      </x:c>
      <x:c r="F16" s="14" t="str">
        <x:v>Primary-source adaptation note and synthetic proof protocol with explicit limits.</x:v>
      </x:c>
      <x:c r="G16" s="14" t="str">
        <x:v>Synthetic 96-row adapter gate only; real Stage A source-test and session-2 rows remain frozen.</x:v>
      </x:c>
      <x:c r="H16" s="14" t="str">
        <x:v>Source-train robust statistics plus unlabeled target-calibration statistics; validation-only adapter selection and one frozen synthetic holdout evaluation.</x:v>
      </x:c>
      <x:c r="I16" s="14" t="str">
        <x:v>Validation/holdout CER gain; paired bootstrap interval; reconstruction MAE; leakage, runtime, memory, storage, and cache checks.</x:v>
      </x:c>
      <x:c r="J16" s="14" t="str">
        <x:v>Stage A protocol and negative transfer result preserved. Stage B uses a 64/16/16 split, selects only on validation, improves frozen synthetic holdout, and keeps all real holdouts unopened.</x:v>
      </x:c>
      <x:c r="K16" s="14" t="str">
        <x:v>Done</x:v>
      </x:c>
      <x:c r="L16" s="14" t="str">
        <x:v>P2</x:v>
      </x:c>
      <x:c r="M16" s="14" t="str">
        <x:v>Codex</x:v>
      </x:c>
      <x:c r="N16" s="14" t="str">
        <x:v>M</x:v>
      </x:c>
      <x:c r="O16" s="14" t="str">
        <x:v>Loop 14</x:v>
      </x:c>
      <x:c r="P16" s="14" t="str">
        <x:v>Medium</x:v>
      </x:c>
      <x:c r="Q16" s="14" t="str">
        <x:v>Close after the synthetic affine gate passes; preserve real S21 holdouts and move calibration-size plus non-diagonal stress tests to Loop 16.</x:v>
      </x:c>
      <x:c r="R16" s="14" t="str">
        <x:v>Stage B closed 2026-07-10. Validation identity/adapted CER 0.327273/0; holdout identity/adapted/prior 0.344828/0/0.577586. Runtime 2.498 s, one thread, 21,354 artifact bytes, zero cache bytes. Synthetic diagonal shift only; no real adapter-benefit claim. Evidence: docs/LOOP_15_STAGE_B_SYNTHETIC_ADAPTER.md</x:v>
      </x:c>
      <x:c r="S16" s="16" t="n">
        <x:v>1</x:v>
      </x:c>
      <x:c r="T16" s="14" t="str">
        <x:v>Closed</x:v>
      </x:c>
    </x:row>
    <x:row r="17" ht="68" customHeight="1">
      <x:c r="A17" s="14" t="n">
        <x:v>16</x:v>
      </x:c>
      <x:c r="B17" s="14" t="str">
        <x:v>Generalization</x:v>
      </x:c>
      <x:c r="C17" s="14" t="str">
        <x:v>Calibration Curve Study</x:v>
      </x:c>
      <x:c r="D17" s="14" t="str">
        <x:v>How many examples or minutes are needed before performance becomes useful?</x:v>
      </x:c>
      <x:c r="E17" s="14" t="str">
        <x:v>Bounded six-size, three-seed calibration curve; multi-view CTC reuse; non-diagonal and time-varying synthetic shifts.</x:v>
      </x:c>
      <x:c r="F17" s="14" t="str">
        <x:v>Primary-source calibration/drift note with registered selection and explicit failure interpretation.</x:v>
      </x:c>
      <x:c r="G17" s="14" t="str">
        <x:v>Synthetic 96-row source plus independent 48-row unlabeled calibration pool; all real holdouts frozen.</x:v>
      </x:c>
      <x:c r="H17" s="14" t="str">
        <x:v>Validation-only nested 1/2/4/8/16/32-row curve across stationary diagonal, channel mixing, and within-row drift; one post-selection holdout pass.</x:v>
      </x:c>
      <x:c r="I17" s="14" t="str">
        <x:v>CER versus rows/minutes; seed range; paired uncertainty; reconstruction ratio; runtime, RSS, bytes, and leakage checks.</x:v>
      </x:c>
      <x:c r="J17" s="14" t="str">
        <x:v>Six sizes and three seeds complete; calibration texts are disjoint; target labels unused; static affine failure under mixing/time drift is reported; no real cache opened.</x:v>
      </x:c>
      <x:c r="K17" s="14" t="str">
        <x:v>Done</x:v>
      </x:c>
      <x:c r="L17" s="14" t="str">
        <x:v>P2</x:v>
      </x:c>
      <x:c r="M17" s="14" t="str">
        <x:v>Codex</x:v>
      </x:c>
      <x:c r="N17" s="14" t="str">
        <x:v>M</x:v>
      </x:c>
      <x:c r="O17" s="14" t="str">
        <x:v>Loop 15</x:v>
      </x:c>
      <x:c r="P17" s="14" t="str">
        <x:v>Medium</x:v>
      </x:c>
      <x:c r="Q17" s="14" t="str">
        <x:v>Close as synthetic characterization. Keep robust affine scoped to stationary diagonal drift; require a new synthetic gate for covariance or causal rolling adaptation.</x:v>
      </x:c>
      <x:c r="R17" s="14" t="str">
        <x:v>Closed 2026-07-10. Registered stationary selection: 1 synthetic row/1.26 s; holdout median identity/adapted CER 0.422414/0.232759, with 2 gains and 1 tie. Channel mixing 0.568966/0.862069 and time drift 0.439655/0.603448; all 6 stress seeds harmed. 1.897 s, 1 thread, 158,256 bytes, 0 cache bytes. Evidence: docs/LOOP_16_SYNTHETIC_CALIBRATION_CURVE.md</x:v>
      </x:c>
      <x:c r="S17" s="16" t="n">
        <x:v>1</x:v>
      </x:c>
      <x:c r="T17" s="14" t="str">
        <x:v>Closed</x:v>
      </x:c>
    </x:row>
    <x:row r="18" ht="91.5" customHeight="1">
      <x:c r="A18" s="14" t="n">
        <x:v>17</x:v>
      </x:c>
      <x:c r="B18" s="14" t="str">
        <x:v>UX &amp; Reproducibility</x:v>
      </x:c>
      <x:c r="C18" s="14" t="str">
        <x:v>Gradio Demo v1</x:v>
      </x:c>
      <x:c r="D18" s="14" t="str">
        <x:v>Can a smart outsider understand the loop in 60 seconds?</x:v>
      </x:c>
      <x:c r="E18" s="14" t="str">
        <x:v>Upgrade demo to load a cache, show target/prediction, confidence, errors, and signal snippet.</x:v>
      </x:c>
      <x:c r="F18" s="14" t="str">
        <x:v>Demo script with limitations copy that avoids mind-reading claims.</x:v>
      </x:c>
      <x:c r="G18" s="14" t="str">
        <x:v>Existing compact synthetic/report artifacts first; no new raw-data acquisition.</x:v>
      </x:c>
      <x:c r="H18" s="14" t="str">
        <x:v>Local Gradio workflow that reads standardized artifacts and exposes prediction, target, errors, uncertainty, calibration state, and proof posture.</x:v>
      </x:c>
      <x:c r="I18" s="14" t="str">
        <x:v>startup/runtime/RSS; displayed CER/WER; artifact provenance; proof-label completeness; interaction smoke result.</x:v>
      </x:c>
      <x:c r="J18" s="14" t="str">
        <x:v>One local command renders at least one end-to-end example and never labels the noncausal typed-sentence model as real-time or arbitrary-thought decoding.</x:v>
      </x:c>
      <x:c r="K18" s="14" t="str">
        <x:v>Done</x:v>
      </x:c>
      <x:c r="L18" s="14" t="str">
        <x:v>P1</x:v>
      </x:c>
      <x:c r="M18" s="14" t="str">
        <x:v>Codex</x:v>
      </x:c>
      <x:c r="N18" s="14" t="str">
        <x:v>M</x:v>
      </x:c>
      <x:c r="O18" s="14" t="str">
        <x:v>Loops 5-8</x:v>
      </x:c>
      <x:c r="P18" s="14" t="str">
        <x:v>Medium</x:v>
      </x:c>
      <x:c r="Q18" s="14" t="str">
        <x:v>Build an honest local Gradio demo from compact existing artifacts. Show signal snippet, target, prediction, CER/WER, uncertainty, calibration state, and proof posture. Keep heavy dependencies optional, measure startup/RSS, and state that the current model is noncausal and typing-task-specific.</x:v>
      </x:c>
      <x:c r="R18" s="14" t="str">
        <x:v>Closed 2026-07-10. Artifact-backed Gradio 6.20 console exposes 19 held-out synthetic examples, signal, target/prediction, CER/WER/keyboard error, aggregate-only real evidence, calibration state, and SHA-256 provenance. Predictive confidence is explicitly unavailable; decoder is noncausal and typing-task-specific. Final startup audit: 1.644 s, 224,837,632-byte peak RSS, 136,734-byte source cache, all 8 checks pass. Desktop/mobile/browser interactions pass with zero console errors. No network fetch, real model run, raw-data access, or new cache. Evidence: docs/LOOP_17_HONEST_LOCAL_DEMO.md</x:v>
      </x:c>
      <x:c r="S18" s="16" t="n">
        <x:f>IF(K18="Done",1,IF(K18="Review",0.8,IF(K18="In Progress",0.5,IF(K18="Blocked",0.2,IF(K18="Parked",0.1,0)))))</x:f>
        <x:v>1</x:v>
      </x:c>
      <x:c r="T18" s="14" t="str">
        <x:f>IF(K18="Blocked","Fix blocker",IF(K18="Review","Review/merge",IF(K18="Parked","Parked",IF(AND(L18="P0",K18="Not Started"),"Next candidate",IF(K18="Done","Closed","Normal")))))</x:f>
        <x:v>Closed</x:v>
      </x:c>
    </x:row>
    <x:row r="19" ht="100.5" customHeight="1">
      <x:c r="A19" s="14" t="n">
        <x:v>18</x:v>
      </x:c>
      <x:c r="B19" s="14" t="str">
        <x:v>UX &amp; Reproducibility</x:v>
      </x:c>
      <x:c r="C19" s="14" t="str">
        <x:v>Leaderboard + Report Cards</x:v>
      </x:c>
      <x:c r="D19" s="14" t="str">
        <x:v>Can every experiment be compared without spreadsheet archaeology?</x:v>
      </x:c>
      <x:c r="E19" s="14" t="str">
        <x:v>Add standardized run artifacts: metrics.json, config snapshot, report.md, cache metadata.</x:v>
      </x:c>
      <x:c r="F19" s="14" t="str">
        <x:v>Leaderboard schema and sample report card.</x:v>
      </x:c>
      <x:c r="G19" s="14" t="str">
        <x:v>All prior experiment outputs.</x:v>
      </x:c>
      <x:c r="H19" s="14" t="str">
        <x:v>Report generator + local leaderboard.</x:v>
      </x:c>
      <x:c r="I19" s="14" t="str">
        <x:v>runs comparable; missing metadata count.</x:v>
      </x:c>
      <x:c r="J19" s="14" t="str">
        <x:v>At least 3 baselines appear in one leaderboard table.</x:v>
      </x:c>
      <x:c r="K19" s="14" t="str">
        <x:v>Done</x:v>
      </x:c>
      <x:c r="L19" s="14" t="str">
        <x:v>P1</x:v>
      </x:c>
      <x:c r="M19" s="14" t="str">
        <x:v>Codex</x:v>
      </x:c>
      <x:c r="N19" s="14" t="str">
        <x:v>M</x:v>
      </x:c>
      <x:c r="O19" s="14" t="str">
        <x:v>Loops 5-8,14</x:v>
      </x:c>
      <x:c r="P19" s="14" t="str">
        <x:v>Low</x:v>
      </x:c>
      <x:c r="Q19" s="14" t="str">
        <x:v>Build the experiment report-card format and local leaderboard; make missing metadata obvious.</x:v>
      </x:c>
      <x:c r="R19" s="14" t="str">
        <x:v>Closed 2026-07-10. Versioned artifact-only schema indexes 11 saved runs across 6 exact cohorts and 4 method families. Four within-cohort rankings are authorized; event holdout and fit-on-eval smoke stay unranked, and no global winner exists. All required fields pass; missing SemER, cache hashes, code version, method-specific resources, or uncertainty remain explicit. 247,440 source-report bytes produce 58 deterministic core files and 103,789 total bytes in 0.012 s at 21,643,264-byte peak RSS. Replay is byte-identical outside audit.json. Raw/cache/signal reads, model runs, network fetches, and holdout reopenings are zero. Evidence: docs/LOOP_18_VERSIONED_REPORT_CARDS.md</x:v>
      </x:c>
      <x:c r="S19" s="16" t="n">
        <x:f>IF(K19="Done",1,IF(K19="Review",0.8,IF(K19="In Progress",0.5,IF(K19="Blocked",0.2,IF(K19="Parked",0.1,0)))))</x:f>
        <x:v>1</x:v>
      </x:c>
      <x:c r="T19" s="14" t="str">
        <x:f>IF(K19="Blocked","Fix blocker",IF(K19="Review","Review/merge",IF(K19="Parked","Parked",IF(AND(L19="P0",K19="Not Started"),"Next candidate",IF(K19="Done","Closed","Normal")))))</x:f>
        <x:v>Closed</x:v>
      </x:c>
    </x:row>
    <x:row r="20" ht="195" customHeight="1">
      <x:c r="A20" s="14" t="n">
        <x:v>19</x:v>
      </x:c>
      <x:c r="B20" s="14" t="str">
        <x:v>Expansion</x:v>
      </x:c>
      <x:c r="C20" s="14" t="str">
        <x:v>EEG / MOABB Bridge</x:v>
      </x:c>
      <x:c r="D20" s="14" t="str">
        <x:v>Can the same tooling support easier-to-access EEG without pretending it will match MEG?</x:v>
      </x:c>
      <x:c r="E20" s="14" t="str">
        <x:v>Add optional adapter for a small public EEG benchmark or MOABB-style dataset path.</x:v>
      </x:c>
      <x:c r="F20" s="14" t="str">
        <x:v>Comparison note: what transfers and what does not.</x:v>
      </x:c>
      <x:c r="G20" s="14" t="str">
        <x:v>Synthetic first; optional MOABB dataset.</x:v>
      </x:c>
      <x:c r="H20" s="14" t="str">
        <x:v>Dataset adapter interface.</x:v>
      </x:c>
      <x:c r="I20" s="14" t="str">
        <x:v>time to first EEG batch; baseline sanity score.</x:v>
      </x:c>
      <x:c r="J20" s="14" t="str">
        <x:v>Bridge is optional and clearly labeled exploratory.</x:v>
      </x:c>
      <x:c r="K20" s="14" t="str">
        <x:v>Done</x:v>
      </x:c>
      <x:c r="L20" s="14" t="str">
        <x:v>P3</x:v>
      </x:c>
      <x:c r="M20" s="14" t="str">
        <x:v>Codex</x:v>
      </x:c>
      <x:c r="N20" s="14" t="str">
        <x:v>L</x:v>
      </x:c>
      <x:c r="O20" s="14" t="str">
        <x:v>Loops 4-8 stable</x:v>
      </x:c>
      <x:c r="P20" s="14" t="str">
        <x:v>Medium</x:v>
      </x:c>
      <x:c r="Q20" s="14" t="str">
        <x:v>Explore an EEG adapter only after the core MEG loop is stable; keep claims conservative.</x:v>
      </x:c>
      <x:c r="R20" s="14" t="str">
        <x:v>Closed 2026-07-10. Metadata gate passed 13/13; pinned S7 bundle: 4 files / 94,842,381 bytes. Lazy extraction matched 2,534/2,534 triggers at 2.024 ms median residual and wrote a 12,428,800-byte 2197 x 61 x 25 cache. Template/prior label accuracy: 0.009091/0.122727; paired delta interval [-0.134545,-0.093636]. MOABB parked; no new dependency or full EEG tree; EEG/MEG separate. Evidence: docs/LOOP_19_EEG_BRAINVISION_BRIDGE.md</x:v>
      </x:c>
      <x:c r="S20" s="16" t="n">
        <x:f>IF(K20="Done",1,IF(K20="Review",0.8,IF(K20="In Progress",0.5,IF(K20="Blocked",0.2,IF(K20="Parked",0.1,0)))))</x:f>
        <x:v>1</x:v>
      </x:c>
      <x:c r="T20" s="14" t="str">
        <x:f>IF(K20="Blocked","Fix blocker",IF(K20="Review","Review/merge",IF(K20="Parked","Parked",IF(AND(L20="P0",K20="Not Started"),"Next candidate",IF(K20="Done","Closed","Normal")))))</x:f>
        <x:v>Closed</x:v>
      </x:c>
    </x:row>
    <x:row r="21" ht="202.5" customHeight="1">
      <x:c r="A21" s="14" t="n">
        <x:v>20</x:v>
      </x:c>
      <x:c r="B21" s="14" t="str">
        <x:v>Expansion</x:v>
      </x:c>
      <x:c r="C21" s="14" t="str">
        <x:v>Neurotokens / v2-ready Interface</x:v>
      </x:c>
      <x:c r="D21" s="14" t="str">
        <x:v>Can we design a future interface for neural embeddings without depending on unreleased data?</x:v>
      </x:c>
      <x:c r="E21" s="14" t="str">
        <x:v>Add placeholder `NeuroTokenCache` interface and synthetic embedding demo.</x:v>
      </x:c>
      <x:c r="F21" s="14" t="str">
        <x:v>Architecture note: raw windows → features → neurotokens → decoder.</x:v>
      </x:c>
      <x:c r="G21" s="14" t="str">
        <x:v>Synthetic embeddings; future real embeddings.</x:v>
      </x:c>
      <x:c r="H21" s="14" t="str">
        <x:v>Feature extractor interface + mock neurotokens.</x:v>
      </x:c>
      <x:c r="I21" s="14" t="str">
        <x:v>interface stability; demo compatibility.</x:v>
      </x:c>
      <x:c r="J21" s="14" t="str">
        <x:v>No v2-data assumptions; interface can ingest embeddings later.</x:v>
      </x:c>
      <x:c r="K21" s="14" t="str">
        <x:v>Done</x:v>
      </x:c>
      <x:c r="L21" s="14" t="str">
        <x:v>P2</x:v>
      </x:c>
      <x:c r="M21" s="14" t="str">
        <x:v>Codex</x:v>
      </x:c>
      <x:c r="N21" s="14" t="str">
        <x:v>M</x:v>
      </x:c>
      <x:c r="O21" s="14" t="str">
        <x:v>Loops 8,13,18</x:v>
      </x:c>
      <x:c r="P21" s="14" t="str">
        <x:v>Medium</x:v>
      </x:c>
      <x:c r="Q21" s="14" t="str">
        <x:v>Define NeuroTokenCache v0 as a small modality-aware interface over existing arrays and synthetic embeddings. Preserve timebase, channel geometry, masks, split membership, provenance, and resource accounting; assume no unreleased v2 data and train no larger model.</x:v>
      </x:c>
      <x:c r="R21" s="14" t="str">
        <x:v>Closed 2026-07-10. NeuroTokenCache v0 stores continuous [items,time,embedding] vectors with masks, timing, source identity, subject/session, modality, geometry availability, strict split/source hashes, resources, and explicit causality boundaries. A target-free synthetic projection wrote 48 x 16 x 32 float32 in 76,646 bytes under a 4-MiB cap; 553 valid frames; exact 37/4/7 split; payload replay SHA-256 82b478948bdcfd5b2d12643f9f912c192a8977c8f0554b9f073171cf6dfe2709. Zero model, training, real-data, or holdout reads. Not learned tokens, decoding value, or end-to-end streaming. Evidence: docs/LOOP_20_NEUROTOKEN_CACHE_V0.md</x:v>
      </x:c>
      <x:c r="S21" s="16" t="n">
        <x:f>IF(K21="Done",1,IF(K21="Review",0.8,IF(K21="In Progress",0.5,IF(K21="Blocked",0.2,IF(K21="Parked",0.1,0)))))</x:f>
        <x:v>1</x:v>
      </x:c>
      <x:c r="T21" s="14" t="str">
        <x:f>IF(K21="Blocked","Fix blocker",IF(K21="Review","Review/merge",IF(K21="Parked","Parked",IF(AND(L21="P0",K21="Not Started"),"Next candidate",IF(K21="Done","Closed","Normal")))))</x:f>
        <x:v>Closed</x:v>
      </x:c>
    </x:row>
  </x:sheetData>
  <x:conditionalFormatting sqref="K2:K200">
    <x:cfRule type="expression" dxfId="0" priority="1">
      <x:formula>K2="Blocked"</x:formula>
    </x:cfRule>
    <x:cfRule type="expression" dxfId="1" priority="2">
      <x:formula>K2="Done"</x:formula>
    </x:cfRule>
    <x:cfRule type="expression" dxfId="2" priority="3">
      <x:formula>K2="In Progress"</x:formula>
    </x:cfRule>
    <x:cfRule type="expression" dxfId="3" priority="4">
      <x:formula>K2="Review"</x:formula>
    </x:cfRule>
  </x:conditionalFormatting>
  <x:conditionalFormatting sqref="S2:S21">
    <x:cfRule type="dataBar" priority="5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{581B661A-CD74-555C-A393-DCD44A232943}</x14:id>
        </x:ext>
      </x:extLst>
    </x:cfRule>
  </x:conditionalFormatting>
  <x:dataValidations count="5">
    <x:dataValidation type="list" sqref="K2:K200">
      <x:formula1>"Not Started,In Progress,Review,Blocked,Done,Parked"</x:formula1>
    </x:dataValidation>
    <x:dataValidation type="list" sqref="L2:L200">
      <x:formula1>"P0,P1,P2,P3"</x:formula1>
    </x:dataValidation>
    <x:dataValidation type="list" sqref="M2:M200">
      <x:formula1>"Cheick,Codex,GPT,TBD"</x:formula1>
    </x:dataValidation>
    <x:dataValidation type="list" sqref="N2:N200">
      <x:formula1>"XS,S,M,L,XL"</x:formula1>
    </x:dataValidation>
    <x:dataValidation type="list" sqref="P2:P200">
      <x:formula1>"Low,Medium,High,Spike"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63ddf29f2a4c4f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5" id="{581B661A-CD74-555C-A393-DCD44A232943}">
            <x14:dataBar gradient="1">
              <x14:cfvo type="min"/>
              <x14:cfvo type="max"/>
              <x14:fillColor rgb="FF1F4E78"/>
            </x14:dataBar>
          </x14:cfRule>
          <xm:sqref>S2:S21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4.130000114440918" hidden="0" customWidth="1"/>
    <x:col min="2" max="2" width="6.380000114440918" hidden="0" customWidth="1"/>
    <x:col min="3" max="3" width="8.630000114440918" hidden="0" customWidth="1"/>
    <x:col min="4" max="4" width="40" hidden="0" customWidth="1"/>
    <x:col min="5" max="5" width="36" hidden="0" customWidth="1"/>
    <x:col min="6" max="6" width="9.25" hidden="0" customWidth="1"/>
    <x:col min="7" max="7" width="7.5" hidden="0" customWidth="1"/>
    <x:col min="8" max="8" width="10.130000114440918" hidden="0" customWidth="1"/>
    <x:col min="9" max="9" width="32" hidden="0" customWidth="1"/>
  </x:cols>
  <x:sheetData>
    <x:row r="1" ht="30" customHeight="1">
      <x:c r="A1" s="6" t="str">
        <x:v>Date</x:v>
      </x:c>
      <x:c r="B1" s="6" t="str">
        <x:v>Loop ID</x:v>
      </x:c>
      <x:c r="C1" s="6" t="str">
        <x:v>Decision</x:v>
      </x:c>
      <x:c r="D1" s="6" t="str">
        <x:v>Rationale</x:v>
      </x:c>
      <x:c r="E1" s="6" t="str">
        <x:v>Evidence / Link</x:v>
      </x:c>
      <x:c r="F1" s="6" t="str">
        <x:v>Reversible?</x:v>
      </x:c>
      <x:c r="G1" s="6" t="str">
        <x:v>Owner</x:v>
      </x:c>
      <x:c r="H1" s="6" t="str">
        <x:v>Next Review</x:v>
      </x:c>
      <x:c r="I1" s="6" t="str">
        <x:v>Notes</x:v>
      </x:c>
    </x:row>
    <x:row r="2" ht="39.599998474121094" hidden="0" customHeight="1">
      <x:c r="A2" s="37" t="str">
        <x:v>2026-06-29</x:v>
      </x:c>
      <x:c r="B2" s="12" t="n">
        <x:v>1</x:v>
      </x:c>
      <x:c r="C2" s="12" t="str">
        <x:v>Proceed</x:v>
      </x:c>
      <x:c r="D2" s="12" t="str">
        <x:v>Loop 1 synthetic smoke acceptance gate met; proceed to Loop 2.</x:v>
      </x:c>
      <x:c r="E2" s="12" t="str">
        <x:v>docs/LOOP_01_PR1_CLOSEOUT_SMOKE.md</x:v>
      </x:c>
      <x:c r="F2" s="12" t="str">
        <x:v>Yes</x:v>
      </x:c>
      <x:c r="G2" s="12" t="str">
        <x:v>Codex</x:v>
      </x:c>
      <x:c r="H2" s="12" t="str">
        <x:v>Loop 2</x:v>
      </x:c>
      <x:c r="I2" s="12"/>
    </x:row>
    <x:row r="3" ht="39.599998474121094" hidden="0" customHeight="1">
      <x:c r="A3" s="37" t="str">
        <x:v>2026-06-29</x:v>
      </x:c>
      <x:c r="B3" s="12" t="n">
        <x:v>2</x:v>
      </x:c>
      <x:c r="C3" s="12" t="str">
        <x:v>Proceed</x:v>
      </x:c>
      <x:c r="D3" s="12" t="str">
        <x:v>Manifest v1 acceptance gate met; proceed to safe tiny-shard selector.</x:v>
      </x:c>
      <x:c r="E3" s="12" t="str">
        <x:v>docs/LOOP_02_SPANISHBCBL_MANIFEST_V1.md</x:v>
      </x:c>
      <x:c r="F3" s="12" t="str">
        <x:v>Yes</x:v>
      </x:c>
      <x:c r="G3" s="12" t="str">
        <x:v>Codex</x:v>
      </x:c>
      <x:c r="H3" s="12" t="str">
        <x:v>Loop 3</x:v>
      </x:c>
      <x:c r="I3" s="12"/>
    </x:row>
    <x:row r="4" ht="39.599998474121094" hidden="0" customHeight="1">
      <x:c r="A4" s="37" t="str">
        <x:v>2026-06-29</x:v>
      </x:c>
      <x:c r="B4" s="12" t="n">
        <x:v>3</x:v>
      </x:c>
      <x:c r="C4" s="12" t="str">
        <x:v>Proceed</x:v>
      </x:c>
      <x:c r="D4" s="12" t="str">
        <x:v>Safe tiny-shard selector acceptance gate met; proceed to cache schema v0.</x:v>
      </x:c>
      <x:c r="E4" s="12" t="str">
        <x:v>docs/LOOP_03_SAFE_TINY_SHARD_SELECTOR.md</x:v>
      </x:c>
      <x:c r="F4" s="12" t="str">
        <x:v>Yes</x:v>
      </x:c>
      <x:c r="G4" s="12" t="str">
        <x:v>Codex</x:v>
      </x:c>
      <x:c r="H4" s="12" t="str">
        <x:v>Loop 4</x:v>
      </x:c>
      <x:c r="I4" s="12" t="str">
        <x:v>Download remains dry-run by default; --execute with unknown sizes requires --allow-unknown-size.</x:v>
      </x:c>
    </x:row>
    <x:row r="5" ht="39.599998474121094" hidden="0" customHeight="1">
      <x:c r="A5" s="37" t="str">
        <x:v>2026-06-29</x:v>
      </x:c>
      <x:c r="B5" s="12" t="n">
        <x:v>4</x:v>
      </x:c>
      <x:c r="C5" s="12" t="str">
        <x:v>Proceed</x:v>
      </x:c>
      <x:c r="D5" s="12" t="str">
        <x:v>Cache schema v0 acceptance gate met; proceed to metrics and error reporting.</x:v>
      </x:c>
      <x:c r="E5" s="12" t="str">
        <x:v>docs/LOOP_04_B2Q_MINI_CACHE_V0.md</x:v>
      </x:c>
      <x:c r="F5" s="12" t="str">
        <x:v>Yes</x:v>
      </x:c>
      <x:c r="G5" s="12" t="str">
        <x:v>Codex</x:v>
      </x:c>
      <x:c r="H5" s="12" t="str">
        <x:v>Loop 5</x:v>
      </x:c>
      <x:c r="I5" s="12" t="str">
        <x:v>Reports should build on load_npz_cache so synthetic and real caches share one contract.</x:v>
      </x:c>
    </x:row>
    <x:row r="6" ht="39.599998474121094" hidden="0" customHeight="1">
      <x:c r="A6" s="37" t="str">
        <x:v>2026-07-01</x:v>
      </x:c>
      <x:c r="B6" s="12" t="n">
        <x:v>5</x:v>
      </x:c>
      <x:c r="C6" s="12" t="str">
        <x:v>Proceed</x:v>
      </x:c>
      <x:c r="D6" s="12" t="str">
        <x:v>Metrics/error report v1 acceptance gate met; proceed to LM-only / prior-only baseline.</x:v>
      </x:c>
      <x:c r="E6" s="12" t="str">
        <x:v>docs/LOOP_05_METRICS_ERROR_REPORT_V1.md</x:v>
      </x:c>
      <x:c r="F6" s="12" t="str">
        <x:v>Yes</x:v>
      </x:c>
      <x:c r="G6" s="12" t="str">
        <x:v>Codex</x:v>
      </x:c>
      <x:c r="H6" s="12" t="str">
        <x:v>Loop 6</x:v>
      </x:c>
      <x:c r="I6" s="12" t="str">
        <x:v>Identity-smoke report verifies plumbing only; no neural/model performance claimed.</x:v>
      </x:c>
    </x:row>
    <x:row r="7" ht="39.599998474121094" hidden="0" customHeight="1">
      <x:c r="A7" s="37" t="str">
        <x:v>2026-07-01</x:v>
      </x:c>
      <x:c r="B7" s="12" t="n">
        <x:v>6</x:v>
      </x:c>
      <x:c r="C7" s="12" t="str">
        <x:v>Proceed</x:v>
      </x:c>
      <x:c r="D7" s="12" t="str">
        <x:v>Prior-only baseline acceptance gate met; proceed to template / nearest-centroid baseline.</x:v>
      </x:c>
      <x:c r="E7" s="12" t="str">
        <x:v>docs/LOOP_06_LM_PRIOR_BASELINE.md</x:v>
      </x:c>
      <x:c r="F7" s="12" t="str">
        <x:v>Yes</x:v>
      </x:c>
      <x:c r="G7" s="12" t="str">
        <x:v>Codex</x:v>
      </x:c>
      <x:c r="H7" s="12" t="str">
        <x:v>Loop 7</x:v>
      </x:c>
      <x:c r="I7" s="12" t="str">
        <x:v>No neural signal used; fit-on-eval mode is smoke-only unless separate train labels are supplied.</x:v>
      </x:c>
    </x:row>
    <x:row r="8" ht="39.599998474121094" hidden="0" customHeight="1">
      <x:c r="A8" s="37" t="str">
        <x:v>2026-07-01</x:v>
      </x:c>
      <x:c r="B8" s="12" t="n">
        <x:v>7</x:v>
      </x:c>
      <x:c r="C8" s="12" t="str">
        <x:v>Proceed</x:v>
      </x:c>
      <x:c r="D8" s="12" t="str">
        <x:v>Template / nearest-centroid baseline acceptance gate met; proceed to tiny Conv / EEGNet-style baseline.</x:v>
      </x:c>
      <x:c r="E8" s="12" t="str">
        <x:v>docs/LOOP_07_TEMPLATE_BASELINE.md</x:v>
      </x:c>
      <x:c r="F8" s="12" t="str">
        <x:v>Yes</x:v>
      </x:c>
      <x:c r="G8" s="12" t="str">
        <x:v>Codex</x:v>
      </x:c>
      <x:c r="H8" s="12" t="str">
        <x:v>Loop 8</x:v>
      </x:c>
      <x:c r="I8" s="12" t="str">
        <x:v>Uses neural windows but no deep learning; perfect synthetic score is expected from toy class bumps.</x:v>
      </x:c>
    </x:row>
    <x:row r="9" ht="39.599998474121094" hidden="0" customHeight="1">
      <x:c r="A9" s="37" t="str">
        <x:v>2026-07-01</x:v>
      </x:c>
      <x:c r="B9" s="12" t="n">
        <x:v>8</x:v>
      </x:c>
      <x:c r="C9" s="12" t="str">
        <x:v>Proceed</x:v>
      </x:c>
      <x:c r="D9" s="12" t="str">
        <x:v>Tiny Conv baseline acceptance gate met for optional-ML scaffold; proceed to CTC character-decoder scaffold.</x:v>
      </x:c>
      <x:c r="E9" s="12" t="str">
        <x:v>docs/LOOP_08_TINY_CONV_BASELINE.md</x:v>
      </x:c>
      <x:c r="F9" s="12" t="str">
        <x:v>Yes</x:v>
      </x:c>
      <x:c r="G9" s="12" t="str">
        <x:v>Codex</x:v>
      </x:c>
      <x:c r="H9" s="12" t="str">
        <x:v>Loop 9</x:v>
      </x:c>
      <x:c r="I9" s="12" t="str">
        <x:v>Torch not installed locally; training smoke tests are present and skipped until .[ml] is available.</x:v>
      </x:c>
    </x:row>
    <x:row r="10" ht="105.5999984741211" hidden="0" customHeight="1">
      <x:c r="A10" s="37" t="str">
        <x:v>2026-07-10</x:v>
      </x:c>
      <x:c r="B10" s="12" t="str">
        <x:v>8.5</x:v>
      </x:c>
      <x:c r="C10" s="12" t="str">
        <x:v>Proceed to a resource-bounded continuous-sentence CTC scaffold.</x:v>
      </x:c>
      <x:c r="D10" s="12" t="str">
        <x:v>S21 block1 gives a strict 66/66 identity trial mapping, while the official v2 architecture confirms continuous-window CTC is the next decoder layer.</x:v>
      </x:c>
      <x:c r="E10" s="12" t="str">
        <x:v>docs/REAL_DATA_VALIDATION_2026-07-10.md</x:v>
      </x:c>
      <x:c r="F10" s="12" t="str">
        <x:v>Yes</x:v>
      </x:c>
      <x:c r="G10" s="12" t="str">
        <x:v>Codex</x:v>
      </x:c>
      <x:c r="H10" s="12" t="str">
        <x:v>Loop 9</x:v>
      </x:c>
      <x:c r="I10" s="12" t="str">
        <x:v>Gate cleared for one real block only. Official v2 English data remains embargoed; local work is a SpanishBCBL surrogate, not a reproduction. Sources: https://github.com/facebookresearch/brain2qwerty and https://facebookresearch.github.io/brain2qwerty/assets/brain2qwerty_v2.pdf</x:v>
      </x:c>
    </x:row>
    <x:row r="11" ht="52.79999923706055" hidden="0" customHeight="1">
      <x:c r="A11" s="37" t="str">
        <x:v>2026-07-10</x:v>
      </x:c>
      <x:c r="B11" s="12" t="n">
        <x:v>9</x:v>
      </x:c>
      <x:c r="C11" s="12" t="str">
        <x:v>Proceed</x:v>
      </x:c>
      <x:c r="D11" s="12" t="str">
        <x:v>Sentence-cache v0, synthetic CTC, 20-seed stability, no-brain comparison, and the real S21 resource smoke satisfy Loop 9 without inventing a real model score.</x:v>
      </x:c>
      <x:c r="E11" s="12" t="str">
        <x:v>docs/LOOP_09_CONTINUOUS_SENTENCE_CTC.md</x:v>
      </x:c>
      <x:c r="F11" s="12" t="str">
        <x:v>Yes</x:v>
      </x:c>
      <x:c r="G11" s="12" t="str">
        <x:v>Codex</x:v>
      </x:c>
      <x:c r="H11" s="12" t="str">
        <x:v>Loop 10</x:v>
      </x:c>
      <x:c r="I11" s="12" t="str">
        <x:v>Real cache: 66x16x617, 1.6 MB, 6.24 sec, about 515 MiB peak RSS. Synthetic eval CER 0.0 vs prior CER 0.7068. Next: 100/50/25 Hz extraction sweep.</x:v>
      </x:c>
    </x:row>
    <x:row r="12" ht="171.60000610351562" hidden="0" customHeight="1">
      <x:c r="A12" s="37" t="str">
        <x:v>2026-07-10</x:v>
      </x:c>
      <x:c r="B12" s="12" t="n">
        <x:v>10</x:v>
      </x:c>
      <x:c r="C12" s="12" t="str">
        <x:v>Proceed without rate selection</x:v>
      </x:c>
      <x:c r="D12" s="12" t="str">
        <x:v>The isolated 100/50/25 Hz resource and CTC-length gate is complete; lower rates shrink caches but remove bandwidth, and the official temporal reducer is structurally incompatible with 25 Hz on this block.</x:v>
      </x:c>
      <x:c r="E12" s="12" t="str">
        <x:v>docs/LOOP_10_SAMPLING_RATE_SWEEP.md</x:v>
      </x:c>
      <x:c r="F12" s="12" t="str">
        <x:v>Yes</x:v>
      </x:c>
      <x:c r="G12" s="12" t="str">
        <x:v>Codex</x:v>
      </x:c>
      <x:c r="H12" s="12" t="str">
        <x:v>Loop 11</x:v>
      </x:c>
      <x:c r="I12" s="12" t="str">
        <x:v>Exact 66-row identity at all rates. Cache bytes: 1,663,209 / 846,334 / 431,451. Official v2 kernel16/stride4 feasibility: 66/66, 66/66, 0/66. No accuracy winner. Sources: https://github.com/facebookresearch/brain2qwerty/blob/3bf5a4099ca0d23bbe994b2287905760236e56e0/brain2qwerty_v2/config/model_config.py and https://github.com/facebookresearch/brain2qwerty/blob/3bf5a4099ca0d23bbe994b2287905760236e56e0/brain2qwerty_v2/utils.py</x:v>
      </x:c>
    </x:row>
    <x:row r="13" ht="171.60000610351562" hidden="0" customHeight="1">
      <x:c r="A13" s="37" t="n">
        <x:v>46213</x:v>
      </x:c>
      <x:c r="B13" s="12" t="n">
        <x:v>11</x:v>
      </x:c>
      <x:c r="C13" s="12" t="str">
        <x:v>Proceed with two sensor-selection candidates; no channel-count winner</x:v>
      </x:c>
      <x:c r="D13" s="12" t="str">
        <x:v>The resource/proxy gate passed, but spatial FPS and same-block variance optimize different evidence. Carry both into future held-out decoder evaluation and retain random/first controls.</x:v>
      </x:c>
      <x:c r="E13" s="12" t="str">
        <x:v>docs/LOOP_11_CHANNEL_SENSOR_SUBSET_SWEEP.md</x:v>
      </x:c>
      <x:c r="F13" s="12" t="str">
        <x:v>Yes</x:v>
      </x:c>
      <x:c r="G13" s="12" t="str">
        <x:v>Codex</x:v>
      </x:c>
      <x:c r="H13" s="12" t="str">
        <x:v>Loop 12</x:v>
      </x:c>
      <x:c r="I13" s="12" t="str">
        <x:v>Base: 102 magnetometers, 66x102x617, 10.1 MiB, 12.004 s, 1.6 GiB peak RSS. Twenty subsets used 70.3 MiB and exact identities passed. Official v2 retrained random 306-to-230/153/76 subsets; this local one-block proxy is not an accuracy reproduction. Sources: https://facebookresearch.github.io/brain2qwerty/assets/brain2qwerty_v2.pdf and https://github.com/facebookresearch/brain2qwerty/blob/3bf5a4099ca0d23bbe994b2287905760236e56e0/brain2qwerty_v2/config/model_config.py</x:v>
      </x:c>
    </x:row>
    <x:row r="14" ht="132" customHeight="1">
      <x:c r="A14" s="40" t="n">
        <x:v>46213</x:v>
      </x:c>
      <x:c r="B14" s="14" t="n">
        <x:v>12</x:v>
      </x:c>
      <x:c r="C14" s="14" t="str">
        <x:v>Proceed with qint16 and qint8 candidates; keep float32 default</x:v>
      </x:c>
      <x:c r="D14" s="14" t="str">
        <x:v>All 15 representations preserve exact semantic identity with no source values outside the fixed range. Qint16 is the lowest-distortion packed candidate and qint8 is the smallest; no decoder was evaluated.</x:v>
      </x:c>
      <x:c r="E14" s="14" t="str">
        <x:v>docs/LOOP_12_PRECISION_STORAGE_SWEEP.md</x:v>
      </x:c>
      <x:c r="F14" s="14" t="str">
        <x:v>Yes</x:v>
      </x:c>
      <x:c r="G14" s="14" t="str">
        <x:v>Codex</x:v>
      </x:c>
      <x:c r="H14" s="14" t="str">
        <x:v>Loop 13/14</x:v>
      </x:c>
      <x:c r="I14" s="14" t="str">
        <x:v>Qint16: 49.84% smaller, worst relative RMSE 0.003693%. Qint8: 80.75% smaller, worst relative RMSE 0.9531%. Packed caches decode to float32, so this is not integer-only inference or retained accuracy. Sources: https://facebookresearch.github.io/brain2qwerty/assets/brain2qwerty_v2.pdf and https://arxiv.org/abs/1905.12322</x:v>
      </x:c>
    </x:row>
    <x:row r="15" ht="96" customHeight="1">
      <x:c r="A15" s="37" t="n">
        <x:v>46213</x:v>
      </x:c>
      <x:c r="B15" s="12" t="n">
        <x:v>13</x:v>
      </x:c>
      <x:c r="C15" s="12" t="str">
        <x:v>Park optional Zarr; proceed to Loop 14</x:v>
      </x:c>
      <x:c r="D15" s="12" t="str">
        <x:v>Nine current real standard/packed caches passed exact decoded-signal identity and declared time, memory, and size budgets. Partial NPZ reads are inefficient but not a material current bottleneck.</x:v>
      </x:c>
      <x:c r="E15" s="12" t="str">
        <x:v>docs/LOOP_13_LAZY_BACKEND_GATE.md</x:v>
      </x:c>
      <x:c r="F15" s="12" t="str">
        <x:v>Yes</x:v>
      </x:c>
      <x:c r="G15" s="12" t="str">
        <x:v>Codex</x:v>
      </x:c>
      <x:c r="H15" s="12" t="str">
        <x:v>Loop 14 / threshold trigger</x:v>
      </x:c>
      <x:c r="I15" s="12" t="str">
        <x:v>Largest cache 10.1 MiB; slowest full/partial medians 60.386/53.634 ms; highest worker RSS 140.6 MiB. One-row member amplification 66x. Zarr not installed. Sources: https://numpy.org/doc/stable/reference/generated/numpy.savez_compressed.html and https://zarr-specs.readthedocs.io/en/latest/v3/chunk-grids/regular-grid/</x:v>
      </x:c>
    </x:row>
    <x:row r="16" ht="108" customHeight="1">
      <x:c r="A16" s="37" t="n">
        <x:v>46213</x:v>
      </x:c>
      <x:c r="B16" s="12" t="n">
        <x:v>14</x:v>
      </x:c>
      <x:c r="C16" s="12" t="str">
        <x:v>Close strict split protocol; keep tiny CTC conclusion near-null</x:v>
      </x:c>
      <x:c r="D16" s="12" t="str">
        <x:v>Train-only scaling and exact report binding pass. Tiny CTC improves by one character edit on five test rows, but poor train fit and a paired interval crossing zero do not show neural advantage.</x:v>
      </x:c>
      <x:c r="E16" s="12" t="str">
        <x:v>docs/LOOP_14_SPLIT_PROTOCOL_V1.md</x:v>
      </x:c>
      <x:c r="F16" s="12" t="str">
        <x:v>Yes</x:v>
      </x:c>
      <x:c r="G16" s="12" t="str">
        <x:v>Codex</x:v>
      </x:c>
      <x:c r="H16" s="12" t="str">
        <x:v>Capped second-session data gate</x:v>
      </x:c>
      <x:c r="I16" s="12" t="str">
        <x:v>55/6/5 rows. Prior/tiny CER 0.953488/0.947674. Delta -0.005814; bootstrap CI [-0.197279, 0.130653]; wins/ties/losses 2/0/3. No session, subject, real-time, or thought-reading claim. Source: https://facebookresearch.github.io/brain2qwerty/assets/brain2qwerty_v2.pdf</x:v>
      </x:c>
    </x:row>
    <x:row r="17" ht="112" customHeight="1">
      <x:c r="A17" s="37" t="n">
        <x:v>46213</x:v>
      </x:c>
      <x:c r="B17" s="12" t="n">
        <x:v>15</x:v>
      </x:c>
      <x:c r="C17" s="12" t="str">
        <x:v>Freeze session 2 after the fixed cross-session baseline fails</x:v>
      </x:c>
      <x:c r="D17" s="12" t="str">
        <x:v>The complete session-2 acquisition, nonempty-MAT trial map, and frozen source-train scaler pass. The unchanged tiny CTC is materially worse than the no-signal prior, so session 2 is consumed evaluation data rather than an adapter tuning set.</x:v>
      </x:c>
      <x:c r="E17" s="12" t="str">
        <x:v>docs/LOOP_15_SAME_SUBJECT_CROSS_SESSION.md</x:v>
      </x:c>
      <x:c r="F17" s="12" t="str">
        <x:v>Yes</x:v>
      </x:c>
      <x:c r="G17" s="12" t="str">
        <x:v>Codex</x:v>
      </x:c>
      <x:c r="H17" s="12" t="str">
        <x:v>Synthetic adapter gate / pre-registered holdout</x:v>
      </x:c>
      <x:c r="I17" s="12" t="str">
        <x:v>Pinned acquisition: 2,516,384,765 bytes, one worker. MAT gaps [54,58,60]. Source 55 train; 6 validation and 5 test unused. Session-2 rows 63. Tiny/prior CER 0.917949/0.775458; delta +0.142491; paired CI [+0.119386,+0.166069]; wins/ties/losses 3/2/58. Dataset: https://huggingface.co/datasets/bcbl190626/SpanishBCBL</x:v>
      </x:c>
    </x:row>
    <x:row r="18" ht="96" customHeight="1">
      <x:c r="A18" s="40" t="n">
        <x:v>46213</x:v>
      </x:c>
      <x:c r="B18" s="14" t="n">
        <x:v>15</x:v>
      </x:c>
      <x:c r="C18" s="14" t="str">
        <x:v>Close Loop 15 after the bounded synthetic adapter mechanism gate passes</x:v>
      </x:c>
      <x:c r="D18" s="14" t="str">
        <x:v>A zero-parameter robust channel-affine adapter reverses the registered diagonal gain/offset shift under validation-only selection. This establishes the mechanism and implementation path without reopening real evaluation data.</x:v>
      </x:c>
      <x:c r="E18" s="14" t="str">
        <x:v>docs/LOOP_15_STAGE_B_SYNTHETIC_ADAPTER.md</x:v>
      </x:c>
      <x:c r="F18" s="14" t="str">
        <x:v>Yes</x:v>
      </x:c>
      <x:c r="G18" s="14" t="str">
        <x:v>Codex</x:v>
      </x:c>
      <x:c r="H18" s="14" t="str">
        <x:v>Loop 16 calibration-size and non-diagonal stress study</x:v>
      </x:c>
      <x:c r="I18" s="14" t="str">
        <x:v>Synthetic 64/16/16 rows. Validation identity/adapted CER 0.327273/0; holdout identity/adapted/prior 0.344828/0/0.577586; paired interval [-0.408696,-0.286957]. Runtime 2.498 s, one thread, zero cache bytes. No real adapter-benefit claim. Sources: https://arxiv.org/abs/1603.04779 and https://doi.org/10.1109/TBME.2019.2913914</x:v>
      </x:c>
    </x:row>
    <x:row r="19" ht="96" customHeight="1">
      <x:c r="A19" s="40" t="n">
        <x:v>46213</x:v>
      </x:c>
      <x:c r="B19" s="14" t="n">
        <x:v>16</x:v>
      </x:c>
      <x:c r="C19" s="14" t="str">
        <x:v>Keep robust affine inside its measured stationary-diagonal scope</x:v>
      </x:c>
      <x:c r="D19" s="14" t="str">
        <x:v>The registered synthetic curve finds a small stationary-diagonal calibration point but static independent-channel statistics harm every channel-mixing and within-row-drift holdout seed.</x:v>
      </x:c>
      <x:c r="E19" s="14" t="str">
        <x:v>docs/LOOP_16_SYNTHETIC_CALIBRATION_CURVE.md</x:v>
      </x:c>
      <x:c r="F19" s="14" t="str">
        <x:v>Yes</x:v>
      </x:c>
      <x:c r="G19" s="14" t="str">
        <x:v>Codex</x:v>
      </x:c>
      <x:c r="H19" s="14" t="str">
        <x:v>Loop 17 honest demo plus a future synthetic covariance/causal drift gate</x:v>
      </x:c>
      <x:c r="I19" s="14" t="str">
        <x:v>Six sizes x three seeds x three shifts. Selected 1 synthetic row/1.26 s by median validation rule; stationary holdout identity/adapted CER 0.422414/0.232759 with one tie. Mixing 0.568966/0.862069; time drift 0.439655/0.603448. One thread, 1.897 s, 158,256 bytes, zero cache bytes. Sources: https://doi.org/10.1609/aaai.v30i1.10306 and https://doi.org/10.1186/1687-6180-2012-129</x:v>
      </x:c>
    </x:row>
    <x:row r="20">
      <x:c r="A20" s="37" t="n">
        <x:v>46213</x:v>
      </x:c>
      <x:c r="B20" s="12" t="n">
        <x:v>17</x:v>
      </x:c>
      <x:c r="C20" s="12" t="str">
        <x:v>Close the honest local demo and proceed to report-card standardization</x:v>
      </x:c>
      <x:c r="D20" s="12" t="str">
        <x:v>The console reproduces compact saved artifacts, exposes uncertainty and noncausal scope, and keeps real results aggregate-only. Browser interaction and responsive layout pass without opening either observed real holdout.</x:v>
      </x:c>
      <x:c r="E20" s="12" t="str">
        <x:v>docs/LOOP_17_HONEST_LOCAL_DEMO.md</x:v>
      </x:c>
      <x:c r="F20" s="12" t="str">
        <x:v>Yes</x:v>
      </x:c>
      <x:c r="G20" s="12" t="str">
        <x:v>Codex</x:v>
      </x:c>
      <x:c r="H20" s="12" t="str">
        <x:v>Loop 18 leaderboard + report cards</x:v>
      </x:c>
      <x:c r="I20" s="12" t="str">
        <x:v>19 synthetic examples; 27 UI components; 4 callbacks; 1.644 s startup; 224,837,632-byte peak RSS; 136,734-byte source cache. All 8 audit checks pass. 1440x1000 and 390x844 QA pass with no console errors. Gradio remains optional; demo dependency added about 178,756 KiB to the existing environment. Sources: https://www.gradio.app/docs/gradio/blocks and https://facebookresearch.github.io/brain2qwerty/</x:v>
      </x:c>
    </x:row>
    <x:row r="21" ht="94.5" customHeight="1">
      <x:c r="A21" s="37" t="n">
        <x:v>46213</x:v>
      </x:c>
      <x:c r="B21" s="12" t="n">
        <x:v>18</x:v>
      </x:c>
      <x:c r="C21" s="12" t="str">
        <x:v>Rank only inside exact evidence cohorts</x:v>
      </x:c>
      <x:c r="D21" s="12" t="str">
        <x:v>Eleven historical runs can be indexed without retraining, but event versus sentence, synthetic versus real, and held-out versus fit-on-eval results are not globally comparable. CER and WER also disagree in the cross-session cohort.</x:v>
      </x:c>
      <x:c r="E21" s="12" t="str">
        <x:v>docs/LOOP_18_VERSIONED_REPORT_CARDS.md</x:v>
      </x:c>
      <x:c r="F21" s="12" t="str">
        <x:v>Yes</x:v>
      </x:c>
      <x:c r="G21" s="12" t="str">
        <x:v>Codex</x:v>
      </x:c>
      <x:c r="H21" s="12" t="str">
        <x:v>Loop 19 bounded EEG bridge discovery gate</x:v>
      </x:c>
      <x:c r="I21" s="12" t="str">
        <x:v>11 cards; 6 cohorts; 4 ranked cohorts; 58 deterministic core files; 103,789 bytes; 0.012 s; 21,643,264-byte peak RSS; zero raw/cache/signal reads, model runs, network fetches, or holdout reopenings. Sources: https://research.google/pubs/model-cards-for-model-reporting/ ; https://mlflow.org/docs/latest/tracking/ ; https://facebookresearch.github.io/brain2qwerty/assets/brain2qwerty_v2.pdf</x:v>
      </x:c>
    </x:row>
    <x:row r="22" ht="106.5" customHeight="1">
      <x:c r="A22" s="37" t="n">
        <x:v>46213</x:v>
      </x:c>
      <x:c r="B22" s="12" t="n">
        <x:v>19</x:v>
      </x:c>
      <x:c r="C22" s="12" t="str">
        <x:v>Keep a native task-matched EEG bridge; record the first baseline as negative</x:v>
      </x:c>
      <x:c r="D22" s="12" t="str">
        <x:v>One pinned 94,842,381-byte BrainVision-plus-MAT bundle validates complete selection, exact trigger-code alignment, lazy extraction, and cache reuse without MOABB. The minimally processed nearest-centroid event classifier is worse than its train-only prior, so bridge success must not become a decoder or hardware claim.</x:v>
      </x:c>
      <x:c r="E22" s="12" t="str">
        <x:v>docs/LOOP_19_EEG_BRAINVISION_BRIDGE.md</x:v>
      </x:c>
      <x:c r="F22" s="12" t="str">
        <x:v>Yes</x:v>
      </x:c>
      <x:c r="G22" s="12" t="str">
        <x:v>Codex</x:v>
      </x:c>
      <x:c r="H22" s="12" t="str">
        <x:v>Loop 20 modality-aware NeuroTokenCache v0 contract</x:v>
      </x:c>
      <x:c r="I22" s="12" t="str">
        <x:v>2,534/2,534 trigger match; 2.024 ms median residual; 2,197 x 61 x 25 cache; 12,428,800 bytes; template/prior label accuracy 0.009091/0.122727; paired interval [-0.134545,-0.093636]. Sources: https://huggingface.co/datasets/bcbl190626/SpanishBCBL ; https://www.nature.com/articles/s41593-026-02303-2 ; https://github.com/facebookresearch/brain2qwerty/blob/3bf5a4099ca0d23bbe994b2287905760236e56e0/studies/spanishbcbl.py ; https://mne.tools/stable/generated/mne.io.read_raw_brainvision.html</x:v>
      </x:c>
    </x:row>
    <x:row r="23" ht="118.5" customHeight="1">
      <x:c r="A23" s="37" t="n">
        <x:v>46213</x:v>
      </x:c>
      <x:c r="B23" s="12" t="n">
        <x:v>20</x:v>
      </x:c>
      <x:c r="C23" s="12" t="str">
        <x:v>Make neurotokens a continuous interface before making them a model claim</x:v>
      </x:c>
      <x:c r="D23" s="12" t="str">
        <x:v>The public v2 encoder exposes time-major frame embeddings, but its reference path is noncausal and its English training data is unavailable. A target-free synthetic projection can validate shape, timing, provenance, split, geometry, resource, and serialization contracts without pretending the vectors are learned or useful for decoding.</x:v>
      </x:c>
      <x:c r="E23" s="12" t="str">
        <x:v>docs/LOOP_20_NEUROTOKEN_CACHE_V0.md</x:v>
      </x:c>
      <x:c r="F23" s="12" t="str">
        <x:v>Yes</x:v>
      </x:c>
      <x:c r="G23" s="12" t="str">
        <x:v>Codex</x:v>
      </x:c>
      <x:c r="H23" s="12" t="str">
        <x:v>Synthetic causal chunk/replay contract before a learned encoder or decoder</x:v>
      </x:c>
      <x:c r="I23" s="12" t="str">
        <x:v>48 x 16 x 32 float32; 553 valid frames; 76,646 bytes; 0.09 s; 44,564,480-byte peak RSS; exact 37/4/7 split; exact payload replay; zero model/training/real/holdout reads. Sources: https://github.com/facebookresearch/brain2qwerty/tree/3bf5a4099ca0d23bbe994b2287905760236e56e0/brain2qwerty_v2 ; https://facebookresearch.github.io/brain2qwerty/assets/brain2qwerty_v2.pdf ; https://papers.neurips.cc/paper_files/paper/2024/file/a64d53074d011e49af1dfc72c332fe4b-Paper-Datasets_and_Benchmarks_Track.pdf</x:v>
      </x:c>
    </x:row>
    <x:row r="24" ht="129" customHeight="1">
      <x:c r="A24" s="37" t="n">
        <x:v>46213</x:v>
      </x:c>
      <x:c r="B24" s="12" t="n">
        <x:v>21</x:v>
      </x:c>
      <x:c r="C24" s="12" t="str">
        <x:v>Separate causal frame production from transport and text latency</x:v>
      </x:c>
      <x:c r="D24" s="12" t="str">
        <x:v>Five registered synthetic chunk schedules preserve one bounded zero-lookahead frame stream, but transport scheduling still adds 0 to 610 ms and no decoder emits text. Producer causality, scheduling delay, decoder emission, and end-to-end latency therefore remain separate proof surfaces.</x:v>
      </x:c>
      <x:c r="E24" s="12" t="str">
        <x:v>docs/LOOP_21_CAUSAL_CHUNK_REPLAY.md</x:v>
      </x:c>
      <x:c r="F24" s="12" t="str">
        <x:v>Yes</x:v>
      </x:c>
      <x:c r="G24" s="12" t="str">
        <x:v>Codex</x:v>
      </x:c>
      <x:c r="H24" s="12" t="str">
        <x:v>Loop 22 tiny learned causal encoder on synthetic train rows only</x:v>
      </x:c>
      <x:c r="I24" s="12" t="str">
        <x:v>5/5 schedules; 553 frames; exact frame/timestamps; bitwise schedule payload 78dc8b5298064216caa854c884a69834c0959566d9ede903d44ae1cd28562389; max Loop 20 difference 9.536743e-7 under 1e-6 tolerance; zero right context; 300-byte state; 195,520-byte bounded working core; 0.135024 s; 46,301,184-byte peak RSS; no targets/models/training/decoder/real reads. Sources: https://facebookresearch.github.io/brain2qwerty/assets/brain2qwerty_v2.pdf ; https://ai.meta.com/research/publications/emformer-efficient-memory-transformer-based-acoustic-model-for-low-latency-streaming-speech-recognition/ ; https://research.google/pubs/fastemit-low-latency-streaming-asr-with-sequence-level-emission-regularization/</x:v>
      </x:c>
    </x:row>
    <x:row r="25">
      <x:c r="A25" s="37"/>
      <x:c r="B25" s="12"/>
      <x:c r="C25" s="12"/>
      <x:c r="D25" s="12"/>
      <x:c r="E25" s="12"/>
      <x:c r="F25" s="12"/>
      <x:c r="G25" s="12"/>
      <x:c r="H25" s="12"/>
      <x:c r="I25" s="12"/>
    </x:row>
    <x:row r="26">
      <x:c r="A26" s="37"/>
      <x:c r="B26" s="12"/>
      <x:c r="C26" s="12"/>
      <x:c r="D26" s="12"/>
      <x:c r="E26" s="12"/>
      <x:c r="F26" s="12"/>
      <x:c r="G26" s="12"/>
      <x:c r="H26" s="12"/>
      <x:c r="I26" s="12"/>
    </x:row>
    <x:row r="27">
      <x:c r="A27" s="37"/>
      <x:c r="B27" s="12"/>
      <x:c r="C27" s="12"/>
      <x:c r="D27" s="12"/>
      <x:c r="E27" s="12"/>
      <x:c r="F27" s="12"/>
      <x:c r="G27" s="12"/>
      <x:c r="H27" s="12"/>
      <x:c r="I27" s="12"/>
    </x:row>
    <x:row r="28">
      <x:c r="A28" s="37"/>
      <x:c r="B28" s="12"/>
      <x:c r="C28" s="12"/>
      <x:c r="D28" s="12"/>
      <x:c r="E28" s="12"/>
      <x:c r="F28" s="12"/>
      <x:c r="G28" s="12"/>
      <x:c r="H28" s="12"/>
      <x:c r="I28" s="12"/>
    </x:row>
    <x:row r="29">
      <x:c r="A29" s="37"/>
      <x:c r="B29" s="12"/>
      <x:c r="C29" s="12"/>
      <x:c r="D29" s="12"/>
      <x:c r="E29" s="12"/>
      <x:c r="F29" s="12"/>
      <x:c r="G29" s="12"/>
      <x:c r="H29" s="12"/>
      <x:c r="I29" s="12"/>
    </x:row>
    <x:row r="30">
      <x:c r="A30" s="37"/>
      <x:c r="B30" s="12"/>
      <x:c r="C30" s="12"/>
      <x:c r="D30" s="12"/>
      <x:c r="E30" s="12"/>
      <x:c r="F30" s="12"/>
      <x:c r="G30" s="12"/>
      <x:c r="H30" s="12"/>
      <x:c r="I30" s="12"/>
    </x:row>
    <x:row r="31">
      <x:c r="A31" s="37"/>
      <x:c r="B31" s="12"/>
      <x:c r="C31" s="12"/>
      <x:c r="D31" s="12"/>
      <x:c r="E31" s="12"/>
      <x:c r="F31" s="12"/>
      <x:c r="G31" s="12"/>
      <x:c r="H31" s="12"/>
      <x:c r="I31" s="12"/>
    </x:row>
    <x:row r="32">
      <x:c r="A32" s="37"/>
      <x:c r="B32" s="12"/>
      <x:c r="C32" s="12"/>
      <x:c r="D32" s="12"/>
      <x:c r="E32" s="12"/>
      <x:c r="F32" s="12"/>
      <x:c r="G32" s="12"/>
      <x:c r="H32" s="12"/>
      <x:c r="I32" s="12"/>
    </x:row>
    <x:row r="33">
      <x:c r="A33" s="37"/>
      <x:c r="B33" s="12"/>
      <x:c r="C33" s="12"/>
      <x:c r="D33" s="12"/>
      <x:c r="E33" s="12"/>
      <x:c r="F33" s="12"/>
      <x:c r="G33" s="12"/>
      <x:c r="H33" s="12"/>
      <x:c r="I33" s="12"/>
    </x:row>
    <x:row r="34">
      <x:c r="A34" s="37"/>
      <x:c r="B34" s="12"/>
      <x:c r="C34" s="12"/>
      <x:c r="D34" s="12"/>
      <x:c r="E34" s="12"/>
      <x:c r="F34" s="12"/>
      <x:c r="G34" s="12"/>
      <x:c r="H34" s="12"/>
      <x:c r="I34" s="12"/>
    </x:row>
    <x:row r="35">
      <x:c r="A35" s="37"/>
      <x:c r="B35" s="12"/>
      <x:c r="C35" s="12"/>
      <x:c r="D35" s="12"/>
      <x:c r="E35" s="12"/>
      <x:c r="F35" s="12"/>
      <x:c r="G35" s="12"/>
      <x:c r="H35" s="12"/>
      <x:c r="I35" s="12"/>
    </x:row>
    <x:row r="36">
      <x:c r="A36" s="37"/>
      <x:c r="B36" s="12"/>
      <x:c r="C36" s="12"/>
      <x:c r="D36" s="12"/>
      <x:c r="E36" s="12"/>
      <x:c r="F36" s="12"/>
      <x:c r="G36" s="12"/>
      <x:c r="H36" s="12"/>
      <x:c r="I36" s="12"/>
    </x:row>
    <x:row r="37">
      <x:c r="A37" s="37"/>
      <x:c r="B37" s="12"/>
      <x:c r="C37" s="12"/>
      <x:c r="D37" s="12"/>
      <x:c r="E37" s="12"/>
      <x:c r="F37" s="12"/>
      <x:c r="G37" s="12"/>
      <x:c r="H37" s="12"/>
      <x:c r="I37" s="12"/>
    </x:row>
    <x:row r="38">
      <x:c r="A38" s="37"/>
      <x:c r="B38" s="12"/>
      <x:c r="C38" s="12"/>
      <x:c r="D38" s="12"/>
      <x:c r="E38" s="12"/>
      <x:c r="F38" s="12"/>
      <x:c r="G38" s="12"/>
      <x:c r="H38" s="12"/>
      <x:c r="I38" s="12"/>
    </x:row>
    <x:row r="39">
      <x:c r="A39" s="37"/>
      <x:c r="B39" s="12"/>
      <x:c r="C39" s="12"/>
      <x:c r="D39" s="12"/>
      <x:c r="E39" s="12"/>
      <x:c r="F39" s="12"/>
      <x:c r="G39" s="12"/>
      <x:c r="H39" s="12"/>
      <x:c r="I39" s="12"/>
    </x:row>
    <x:row r="40">
      <x:c r="A40" s="37"/>
      <x:c r="B40" s="12"/>
      <x:c r="C40" s="12"/>
      <x:c r="D40" s="12"/>
      <x:c r="E40" s="12"/>
      <x:c r="F40" s="12"/>
      <x:c r="G40" s="12"/>
      <x:c r="H40" s="12"/>
      <x:c r="I40" s="12"/>
    </x:row>
    <x:row r="41">
      <x:c r="A41" s="37"/>
      <x:c r="B41" s="12"/>
      <x:c r="C41" s="12"/>
      <x:c r="D41" s="12"/>
      <x:c r="E41" s="12"/>
      <x:c r="F41" s="12"/>
      <x:c r="G41" s="12"/>
      <x:c r="H41" s="12"/>
      <x:c r="I41" s="12"/>
    </x:row>
    <x:row r="42">
      <x:c r="A42" s="37"/>
      <x:c r="B42" s="12"/>
      <x:c r="C42" s="12"/>
      <x:c r="D42" s="12"/>
      <x:c r="E42" s="12"/>
      <x:c r="F42" s="12"/>
      <x:c r="G42" s="12"/>
      <x:c r="H42" s="12"/>
      <x:c r="I42" s="12"/>
    </x:row>
    <x:row r="43">
      <x:c r="A43" s="37"/>
      <x:c r="B43" s="12"/>
      <x:c r="C43" s="12"/>
      <x:c r="D43" s="12"/>
      <x:c r="E43" s="12"/>
      <x:c r="F43" s="12"/>
      <x:c r="G43" s="12"/>
      <x:c r="H43" s="12"/>
      <x:c r="I43" s="12"/>
    </x:row>
    <x:row r="44">
      <x:c r="A44" s="37"/>
      <x:c r="B44" s="12"/>
      <x:c r="C44" s="12"/>
      <x:c r="D44" s="12"/>
      <x:c r="E44" s="12"/>
      <x:c r="F44" s="12"/>
      <x:c r="G44" s="12"/>
      <x:c r="H44" s="12"/>
      <x:c r="I44" s="12"/>
    </x:row>
    <x:row r="45">
      <x:c r="A45" s="37"/>
      <x:c r="B45" s="12"/>
      <x:c r="C45" s="12"/>
      <x:c r="D45" s="12"/>
      <x:c r="E45" s="12"/>
      <x:c r="F45" s="12"/>
      <x:c r="G45" s="12"/>
      <x:c r="H45" s="12"/>
      <x:c r="I45" s="12"/>
    </x:row>
    <x:row r="46">
      <x:c r="A46" s="37"/>
      <x:c r="B46" s="12"/>
      <x:c r="C46" s="12"/>
      <x:c r="D46" s="12"/>
      <x:c r="E46" s="12"/>
      <x:c r="F46" s="12"/>
      <x:c r="G46" s="12"/>
      <x:c r="H46" s="12"/>
      <x:c r="I46" s="12"/>
    </x:row>
    <x:row r="47">
      <x:c r="A47" s="37"/>
      <x:c r="B47" s="12"/>
      <x:c r="C47" s="12"/>
      <x:c r="D47" s="12"/>
      <x:c r="E47" s="12"/>
      <x:c r="F47" s="12"/>
      <x:c r="G47" s="12"/>
      <x:c r="H47" s="12"/>
      <x:c r="I47" s="12"/>
    </x:row>
    <x:row r="48">
      <x:c r="A48" s="37"/>
      <x:c r="B48" s="12"/>
      <x:c r="C48" s="12"/>
      <x:c r="D48" s="12"/>
      <x:c r="E48" s="12"/>
      <x:c r="F48" s="12"/>
      <x:c r="G48" s="12"/>
      <x:c r="H48" s="12"/>
      <x:c r="I48" s="12"/>
    </x:row>
    <x:row r="49">
      <x:c r="A49" s="37"/>
      <x:c r="B49" s="12"/>
      <x:c r="C49" s="12"/>
      <x:c r="D49" s="12"/>
      <x:c r="E49" s="12"/>
      <x:c r="F49" s="12"/>
      <x:c r="G49" s="12"/>
      <x:c r="H49" s="12"/>
      <x:c r="I49" s="12"/>
    </x:row>
    <x:row r="50">
      <x:c r="A50" s="37"/>
      <x:c r="B50" s="12"/>
      <x:c r="C50" s="12"/>
      <x:c r="D50" s="12"/>
      <x:c r="E50" s="12"/>
      <x:c r="F50" s="12"/>
      <x:c r="G50" s="12"/>
      <x:c r="H50" s="12"/>
      <x:c r="I50" s="12"/>
    </x:row>
    <x:row r="51">
      <x:c r="A51" s="37"/>
      <x:c r="B51" s="12"/>
      <x:c r="C51" s="12"/>
      <x:c r="D51" s="12"/>
      <x:c r="E51" s="12"/>
      <x:c r="F51" s="12"/>
      <x:c r="G51" s="12"/>
      <x:c r="H51" s="12"/>
      <x:c r="I51" s="12"/>
    </x:row>
    <x:row r="52">
      <x:c r="A52" s="37"/>
      <x:c r="B52" s="12"/>
      <x:c r="C52" s="12"/>
      <x:c r="D52" s="12"/>
      <x:c r="E52" s="12"/>
      <x:c r="F52" s="12"/>
      <x:c r="G52" s="12"/>
      <x:c r="H52" s="12"/>
      <x:c r="I52" s="12"/>
    </x:row>
    <x:row r="53">
      <x:c r="A53" s="37"/>
      <x:c r="B53" s="12"/>
      <x:c r="C53" s="12"/>
      <x:c r="D53" s="12"/>
      <x:c r="E53" s="12"/>
      <x:c r="F53" s="12"/>
      <x:c r="G53" s="12"/>
      <x:c r="H53" s="12"/>
      <x:c r="I53" s="12"/>
    </x:row>
    <x:row r="54">
      <x:c r="A54" s="37"/>
      <x:c r="B54" s="12"/>
      <x:c r="C54" s="12"/>
      <x:c r="D54" s="12"/>
      <x:c r="E54" s="12"/>
      <x:c r="F54" s="12"/>
      <x:c r="G54" s="12"/>
      <x:c r="H54" s="12"/>
      <x:c r="I54" s="12"/>
    </x:row>
    <x:row r="55">
      <x:c r="A55" s="37"/>
      <x:c r="B55" s="12"/>
      <x:c r="C55" s="12"/>
      <x:c r="D55" s="12"/>
      <x:c r="E55" s="12"/>
      <x:c r="F55" s="12"/>
      <x:c r="G55" s="12"/>
      <x:c r="H55" s="12"/>
      <x:c r="I55" s="12"/>
    </x:row>
    <x:row r="56">
      <x:c r="A56" s="37"/>
      <x:c r="B56" s="12"/>
      <x:c r="C56" s="12"/>
      <x:c r="D56" s="12"/>
      <x:c r="E56" s="12"/>
      <x:c r="F56" s="12"/>
      <x:c r="G56" s="12"/>
      <x:c r="H56" s="12"/>
      <x:c r="I56" s="12"/>
    </x:row>
    <x:row r="57">
      <x:c r="A57" s="37"/>
      <x:c r="B57" s="12"/>
      <x:c r="C57" s="12"/>
      <x:c r="D57" s="12"/>
      <x:c r="E57" s="12"/>
      <x:c r="F57" s="12"/>
      <x:c r="G57" s="12"/>
      <x:c r="H57" s="12"/>
      <x:c r="I57" s="12"/>
    </x:row>
    <x:row r="58">
      <x:c r="A58" s="37"/>
      <x:c r="B58" s="12"/>
      <x:c r="C58" s="12"/>
      <x:c r="D58" s="12"/>
      <x:c r="E58" s="12"/>
      <x:c r="F58" s="12"/>
      <x:c r="G58" s="12"/>
      <x:c r="H58" s="12"/>
      <x:c r="I58" s="12"/>
    </x:row>
    <x:row r="59">
      <x:c r="A59" s="37"/>
      <x:c r="B59" s="12"/>
      <x:c r="C59" s="12"/>
      <x:c r="D59" s="12"/>
      <x:c r="E59" s="12"/>
      <x:c r="F59" s="12"/>
      <x:c r="G59" s="12"/>
      <x:c r="H59" s="12"/>
      <x:c r="I59" s="12"/>
    </x:row>
    <x:row r="60">
      <x:c r="A60" s="37"/>
      <x:c r="B60" s="12"/>
      <x:c r="C60" s="12"/>
      <x:c r="D60" s="12"/>
      <x:c r="E60" s="12"/>
      <x:c r="F60" s="12"/>
      <x:c r="G60" s="12"/>
      <x:c r="H60" s="12"/>
      <x:c r="I60" s="12"/>
    </x:row>
    <x:row r="61">
      <x:c r="A61" s="37"/>
      <x:c r="B61" s="12"/>
      <x:c r="C61" s="12"/>
      <x:c r="D61" s="12"/>
      <x:c r="E61" s="12"/>
      <x:c r="F61" s="12"/>
      <x:c r="G61" s="12"/>
      <x:c r="H61" s="12"/>
      <x:c r="I61" s="12"/>
    </x:row>
    <x:row r="62">
      <x:c r="A62" s="37"/>
      <x:c r="B62" s="12"/>
      <x:c r="C62" s="12"/>
      <x:c r="D62" s="12"/>
      <x:c r="E62" s="12"/>
      <x:c r="F62" s="12"/>
      <x:c r="G62" s="12"/>
      <x:c r="H62" s="12"/>
      <x:c r="I62" s="12"/>
    </x:row>
    <x:row r="63">
      <x:c r="A63" s="37"/>
      <x:c r="B63" s="12"/>
      <x:c r="C63" s="12"/>
      <x:c r="D63" s="12"/>
      <x:c r="E63" s="12"/>
      <x:c r="F63" s="12"/>
      <x:c r="G63" s="12"/>
      <x:c r="H63" s="12"/>
      <x:c r="I63" s="12"/>
    </x:row>
    <x:row r="64">
      <x:c r="A64" s="37"/>
      <x:c r="B64" s="12"/>
      <x:c r="C64" s="12"/>
      <x:c r="D64" s="12"/>
      <x:c r="E64" s="12"/>
      <x:c r="F64" s="12"/>
      <x:c r="G64" s="12"/>
      <x:c r="H64" s="12"/>
      <x:c r="I64" s="12"/>
    </x:row>
    <x:row r="65">
      <x:c r="A65" s="37"/>
      <x:c r="B65" s="12"/>
      <x:c r="C65" s="12"/>
      <x:c r="D65" s="12"/>
      <x:c r="E65" s="12"/>
      <x:c r="F65" s="12"/>
      <x:c r="G65" s="12"/>
      <x:c r="H65" s="12"/>
      <x:c r="I65" s="12"/>
    </x:row>
    <x:row r="66">
      <x:c r="A66" s="37"/>
      <x:c r="B66" s="12"/>
      <x:c r="C66" s="12"/>
      <x:c r="D66" s="12"/>
      <x:c r="E66" s="12"/>
      <x:c r="F66" s="12"/>
      <x:c r="G66" s="12"/>
      <x:c r="H66" s="12"/>
      <x:c r="I66" s="12"/>
    </x:row>
    <x:row r="67">
      <x:c r="A67" s="37"/>
      <x:c r="B67" s="12"/>
      <x:c r="C67" s="12"/>
      <x:c r="D67" s="12"/>
      <x:c r="E67" s="12"/>
      <x:c r="F67" s="12"/>
      <x:c r="G67" s="12"/>
      <x:c r="H67" s="12"/>
      <x:c r="I67" s="12"/>
    </x:row>
    <x:row r="68">
      <x:c r="A68" s="37"/>
      <x:c r="B68" s="12"/>
      <x:c r="C68" s="12"/>
      <x:c r="D68" s="12"/>
      <x:c r="E68" s="12"/>
      <x:c r="F68" s="12"/>
      <x:c r="G68" s="12"/>
      <x:c r="H68" s="12"/>
      <x:c r="I68" s="12"/>
    </x:row>
    <x:row r="69">
      <x:c r="A69" s="37"/>
      <x:c r="B69" s="12"/>
      <x:c r="C69" s="12"/>
      <x:c r="D69" s="12"/>
      <x:c r="E69" s="12"/>
      <x:c r="F69" s="12"/>
      <x:c r="G69" s="12"/>
      <x:c r="H69" s="12"/>
      <x:c r="I69" s="12"/>
    </x:row>
    <x:row r="70">
      <x:c r="A70" s="37"/>
      <x:c r="B70" s="12"/>
      <x:c r="C70" s="12"/>
      <x:c r="D70" s="12"/>
      <x:c r="E70" s="12"/>
      <x:c r="F70" s="12"/>
      <x:c r="G70" s="12"/>
      <x:c r="H70" s="12"/>
      <x:c r="I70" s="12"/>
    </x:row>
    <x:row r="71">
      <x:c r="A71" s="37"/>
      <x:c r="B71" s="12"/>
      <x:c r="C71" s="12"/>
      <x:c r="D71" s="12"/>
      <x:c r="E71" s="12"/>
      <x:c r="F71" s="12"/>
      <x:c r="G71" s="12"/>
      <x:c r="H71" s="12"/>
      <x:c r="I71" s="12"/>
    </x:row>
    <x:row r="72">
      <x:c r="A72" s="37"/>
      <x:c r="B72" s="12"/>
      <x:c r="C72" s="12"/>
      <x:c r="D72" s="12"/>
      <x:c r="E72" s="12"/>
      <x:c r="F72" s="12"/>
      <x:c r="G72" s="12"/>
      <x:c r="H72" s="12"/>
      <x:c r="I72" s="12"/>
    </x:row>
    <x:row r="73">
      <x:c r="A73" s="37"/>
      <x:c r="B73" s="12"/>
      <x:c r="C73" s="12"/>
      <x:c r="D73" s="12"/>
      <x:c r="E73" s="12"/>
      <x:c r="F73" s="12"/>
      <x:c r="G73" s="12"/>
      <x:c r="H73" s="12"/>
      <x:c r="I73" s="12"/>
    </x:row>
    <x:row r="74">
      <x:c r="A74" s="37"/>
      <x:c r="B74" s="12"/>
      <x:c r="C74" s="12"/>
      <x:c r="D74" s="12"/>
      <x:c r="E74" s="12"/>
      <x:c r="F74" s="12"/>
      <x:c r="G74" s="12"/>
      <x:c r="H74" s="12"/>
      <x:c r="I74" s="12"/>
    </x:row>
    <x:row r="75">
      <x:c r="A75" s="37"/>
      <x:c r="B75" s="12"/>
      <x:c r="C75" s="12"/>
      <x:c r="D75" s="12"/>
      <x:c r="E75" s="12"/>
      <x:c r="F75" s="12"/>
      <x:c r="G75" s="12"/>
      <x:c r="H75" s="12"/>
      <x:c r="I75" s="12"/>
    </x:row>
    <x:row r="76">
      <x:c r="A76" s="37"/>
      <x:c r="B76" s="12"/>
      <x:c r="C76" s="12"/>
      <x:c r="D76" s="12"/>
      <x:c r="E76" s="12"/>
      <x:c r="F76" s="12"/>
      <x:c r="G76" s="12"/>
      <x:c r="H76" s="12"/>
      <x:c r="I76" s="12"/>
    </x:row>
    <x:row r="77">
      <x:c r="A77" s="37"/>
      <x:c r="B77" s="12"/>
      <x:c r="C77" s="12"/>
      <x:c r="D77" s="12"/>
      <x:c r="E77" s="12"/>
      <x:c r="F77" s="12"/>
      <x:c r="G77" s="12"/>
      <x:c r="H77" s="12"/>
      <x:c r="I77" s="12"/>
    </x:row>
    <x:row r="78">
      <x:c r="A78" s="37"/>
      <x:c r="B78" s="12"/>
      <x:c r="C78" s="12"/>
      <x:c r="D78" s="12"/>
      <x:c r="E78" s="12"/>
      <x:c r="F78" s="12"/>
      <x:c r="G78" s="12"/>
      <x:c r="H78" s="12"/>
      <x:c r="I78" s="12"/>
    </x:row>
    <x:row r="79">
      <x:c r="A79" s="37"/>
      <x:c r="B79" s="12"/>
      <x:c r="C79" s="12"/>
      <x:c r="D79" s="12"/>
      <x:c r="E79" s="12"/>
      <x:c r="F79" s="12"/>
      <x:c r="G79" s="12"/>
      <x:c r="H79" s="12"/>
      <x:c r="I79" s="12"/>
    </x:row>
    <x:row r="80">
      <x:c r="A80" s="37"/>
      <x:c r="B80" s="12"/>
      <x:c r="C80" s="12"/>
      <x:c r="D80" s="12"/>
      <x:c r="E80" s="12"/>
      <x:c r="F80" s="12"/>
      <x:c r="G80" s="12"/>
      <x:c r="H80" s="12"/>
      <x:c r="I80" s="12"/>
    </x:row>
    <x:row r="81">
      <x:c r="A81" s="37"/>
      <x:c r="B81" s="12"/>
      <x:c r="C81" s="12"/>
      <x:c r="D81" s="12"/>
      <x:c r="E81" s="12"/>
      <x:c r="F81" s="12"/>
      <x:c r="G81" s="12"/>
      <x:c r="H81" s="12"/>
      <x:c r="I81" s="12"/>
    </x:row>
    <x:row r="82">
      <x:c r="A82" s="37"/>
      <x:c r="B82" s="12"/>
      <x:c r="C82" s="12"/>
      <x:c r="D82" s="12"/>
      <x:c r="E82" s="12"/>
      <x:c r="F82" s="12"/>
      <x:c r="G82" s="12"/>
      <x:c r="H82" s="12"/>
      <x:c r="I82" s="12"/>
    </x:row>
    <x:row r="83">
      <x:c r="A83" s="37"/>
      <x:c r="B83" s="12"/>
      <x:c r="C83" s="12"/>
      <x:c r="D83" s="12"/>
      <x:c r="E83" s="12"/>
      <x:c r="F83" s="12"/>
      <x:c r="G83" s="12"/>
      <x:c r="H83" s="12"/>
      <x:c r="I83" s="12"/>
    </x:row>
    <x:row r="84">
      <x:c r="A84" s="37"/>
      <x:c r="B84" s="12"/>
      <x:c r="C84" s="12"/>
      <x:c r="D84" s="12"/>
      <x:c r="E84" s="12"/>
      <x:c r="F84" s="12"/>
      <x:c r="G84" s="12"/>
      <x:c r="H84" s="12"/>
      <x:c r="I84" s="12"/>
    </x:row>
    <x:row r="85">
      <x:c r="A85" s="37"/>
      <x:c r="B85" s="12"/>
      <x:c r="C85" s="12"/>
      <x:c r="D85" s="12"/>
      <x:c r="E85" s="12"/>
      <x:c r="F85" s="12"/>
      <x:c r="G85" s="12"/>
      <x:c r="H85" s="12"/>
      <x:c r="I85" s="12"/>
    </x:row>
    <x:row r="86">
      <x:c r="A86" s="37"/>
      <x:c r="B86" s="12"/>
      <x:c r="C86" s="12"/>
      <x:c r="D86" s="12"/>
      <x:c r="E86" s="12"/>
      <x:c r="F86" s="12"/>
      <x:c r="G86" s="12"/>
      <x:c r="H86" s="12"/>
      <x:c r="I86" s="12"/>
    </x:row>
    <x:row r="87">
      <x:c r="A87" s="37"/>
      <x:c r="B87" s="12"/>
      <x:c r="C87" s="12"/>
      <x:c r="D87" s="12"/>
      <x:c r="E87" s="12"/>
      <x:c r="F87" s="12"/>
      <x:c r="G87" s="12"/>
      <x:c r="H87" s="12"/>
      <x:c r="I87" s="12"/>
    </x:row>
    <x:row r="88">
      <x:c r="A88" s="37"/>
      <x:c r="B88" s="12"/>
      <x:c r="C88" s="12"/>
      <x:c r="D88" s="12"/>
      <x:c r="E88" s="12"/>
      <x:c r="F88" s="12"/>
      <x:c r="G88" s="12"/>
      <x:c r="H88" s="12"/>
      <x:c r="I88" s="12"/>
    </x:row>
    <x:row r="89">
      <x:c r="A89" s="37"/>
      <x:c r="B89" s="12"/>
      <x:c r="C89" s="12"/>
      <x:c r="D89" s="12"/>
      <x:c r="E89" s="12"/>
      <x:c r="F89" s="12"/>
      <x:c r="G89" s="12"/>
      <x:c r="H89" s="12"/>
      <x:c r="I89" s="12"/>
    </x:row>
    <x:row r="90">
      <x:c r="A90" s="37"/>
      <x:c r="B90" s="12"/>
      <x:c r="C90" s="12"/>
      <x:c r="D90" s="12"/>
      <x:c r="E90" s="12"/>
      <x:c r="F90" s="12"/>
      <x:c r="G90" s="12"/>
      <x:c r="H90" s="12"/>
      <x:c r="I90" s="12"/>
    </x:row>
    <x:row r="91">
      <x:c r="A91" s="37"/>
      <x:c r="B91" s="12"/>
      <x:c r="C91" s="12"/>
      <x:c r="D91" s="12"/>
      <x:c r="E91" s="12"/>
      <x:c r="F91" s="12"/>
      <x:c r="G91" s="12"/>
      <x:c r="H91" s="12"/>
      <x:c r="I91" s="12"/>
    </x:row>
    <x:row r="92">
      <x:c r="A92" s="37"/>
      <x:c r="B92" s="12"/>
      <x:c r="C92" s="12"/>
      <x:c r="D92" s="12"/>
      <x:c r="E92" s="12"/>
      <x:c r="F92" s="12"/>
      <x:c r="G92" s="12"/>
      <x:c r="H92" s="12"/>
      <x:c r="I92" s="12"/>
    </x:row>
    <x:row r="93">
      <x:c r="A93" s="37"/>
      <x:c r="B93" s="12"/>
      <x:c r="C93" s="12"/>
      <x:c r="D93" s="12"/>
      <x:c r="E93" s="12"/>
      <x:c r="F93" s="12"/>
      <x:c r="G93" s="12"/>
      <x:c r="H93" s="12"/>
      <x:c r="I93" s="12"/>
    </x:row>
    <x:row r="94">
      <x:c r="A94" s="37"/>
      <x:c r="B94" s="12"/>
      <x:c r="C94" s="12"/>
      <x:c r="D94" s="12"/>
      <x:c r="E94" s="12"/>
      <x:c r="F94" s="12"/>
      <x:c r="G94" s="12"/>
      <x:c r="H94" s="12"/>
      <x:c r="I94" s="12"/>
    </x:row>
    <x:row r="95">
      <x:c r="A95" s="37"/>
      <x:c r="B95" s="12"/>
      <x:c r="C95" s="12"/>
      <x:c r="D95" s="12"/>
      <x:c r="E95" s="12"/>
      <x:c r="F95" s="12"/>
      <x:c r="G95" s="12"/>
      <x:c r="H95" s="12"/>
      <x:c r="I95" s="12"/>
    </x:row>
    <x:row r="96">
      <x:c r="A96" s="37"/>
      <x:c r="B96" s="12"/>
      <x:c r="C96" s="12"/>
      <x:c r="D96" s="12"/>
      <x:c r="E96" s="12"/>
      <x:c r="F96" s="12"/>
      <x:c r="G96" s="12"/>
      <x:c r="H96" s="12"/>
      <x:c r="I96" s="12"/>
    </x:row>
    <x:row r="97">
      <x:c r="A97" s="37"/>
      <x:c r="B97" s="12"/>
      <x:c r="C97" s="12"/>
      <x:c r="D97" s="12"/>
      <x:c r="E97" s="12"/>
      <x:c r="F97" s="12"/>
      <x:c r="G97" s="12"/>
      <x:c r="H97" s="12"/>
      <x:c r="I97" s="12"/>
    </x:row>
    <x:row r="98">
      <x:c r="A98" s="37"/>
      <x:c r="B98" s="12"/>
      <x:c r="C98" s="12"/>
      <x:c r="D98" s="12"/>
      <x:c r="E98" s="12"/>
      <x:c r="F98" s="12"/>
      <x:c r="G98" s="12"/>
      <x:c r="H98" s="12"/>
      <x:c r="I98" s="12"/>
    </x:row>
    <x:row r="99">
      <x:c r="A99" s="37"/>
      <x:c r="B99" s="12"/>
      <x:c r="C99" s="12"/>
      <x:c r="D99" s="12"/>
      <x:c r="E99" s="12"/>
      <x:c r="F99" s="12"/>
      <x:c r="G99" s="12"/>
      <x:c r="H99" s="12"/>
      <x:c r="I99" s="12"/>
    </x:row>
    <x:row r="100">
      <x:c r="A100" s="37"/>
      <x:c r="B100" s="12"/>
      <x:c r="C100" s="12"/>
      <x:c r="D100" s="12"/>
      <x:c r="E100" s="12"/>
      <x:c r="F100" s="12"/>
      <x:c r="G100" s="12"/>
      <x:c r="H100" s="12"/>
      <x:c r="I100" s="12"/>
    </x:row>
    <x:row r="101">
      <x:c r="A101" s="37"/>
      <x:c r="B101" s="12"/>
      <x:c r="C101" s="12"/>
      <x:c r="D101" s="12"/>
      <x:c r="E101" s="12"/>
      <x:c r="F101" s="12"/>
      <x:c r="G101" s="12"/>
      <x:c r="H101" s="12"/>
      <x:c r="I101" s="12"/>
    </x:row>
    <x:row r="102">
      <x:c r="A102" s="37"/>
      <x:c r="B102" s="12"/>
      <x:c r="C102" s="12"/>
      <x:c r="D102" s="12"/>
      <x:c r="E102" s="12"/>
      <x:c r="F102" s="12"/>
      <x:c r="G102" s="12"/>
      <x:c r="H102" s="12"/>
      <x:c r="I102" s="12"/>
    </x:row>
    <x:row r="103">
      <x:c r="A103" s="37"/>
      <x:c r="B103" s="12"/>
      <x:c r="C103" s="12"/>
      <x:c r="D103" s="12"/>
      <x:c r="E103" s="12"/>
      <x:c r="F103" s="12"/>
      <x:c r="G103" s="12"/>
      <x:c r="H103" s="12"/>
      <x:c r="I103" s="12"/>
    </x:row>
    <x:row r="104">
      <x:c r="A104" s="37"/>
      <x:c r="B104" s="12"/>
      <x:c r="C104" s="12"/>
      <x:c r="D104" s="12"/>
      <x:c r="E104" s="12"/>
      <x:c r="F104" s="12"/>
      <x:c r="G104" s="12"/>
      <x:c r="H104" s="12"/>
      <x:c r="I104" s="12"/>
    </x:row>
    <x:row r="105">
      <x:c r="A105" s="37"/>
      <x:c r="B105" s="12"/>
      <x:c r="C105" s="12"/>
      <x:c r="D105" s="12"/>
      <x:c r="E105" s="12"/>
      <x:c r="F105" s="12"/>
      <x:c r="G105" s="12"/>
      <x:c r="H105" s="12"/>
      <x:c r="I105" s="12"/>
    </x:row>
    <x:row r="106">
      <x:c r="A106" s="37"/>
      <x:c r="B106" s="12"/>
      <x:c r="C106" s="12"/>
      <x:c r="D106" s="12"/>
      <x:c r="E106" s="12"/>
      <x:c r="F106" s="12"/>
      <x:c r="G106" s="12"/>
      <x:c r="H106" s="12"/>
      <x:c r="I106" s="12"/>
    </x:row>
    <x:row r="107">
      <x:c r="A107" s="37"/>
      <x:c r="B107" s="12"/>
      <x:c r="C107" s="12"/>
      <x:c r="D107" s="12"/>
      <x:c r="E107" s="12"/>
      <x:c r="F107" s="12"/>
      <x:c r="G107" s="12"/>
      <x:c r="H107" s="12"/>
      <x:c r="I107" s="12"/>
    </x:row>
    <x:row r="108">
      <x:c r="A108" s="37"/>
      <x:c r="B108" s="12"/>
      <x:c r="C108" s="12"/>
      <x:c r="D108" s="12"/>
      <x:c r="E108" s="12"/>
      <x:c r="F108" s="12"/>
      <x:c r="G108" s="12"/>
      <x:c r="H108" s="12"/>
      <x:c r="I108" s="12"/>
    </x:row>
    <x:row r="109">
      <x:c r="A109" s="37"/>
      <x:c r="B109" s="12"/>
      <x:c r="C109" s="12"/>
      <x:c r="D109" s="12"/>
      <x:c r="E109" s="12"/>
      <x:c r="F109" s="12"/>
      <x:c r="G109" s="12"/>
      <x:c r="H109" s="12"/>
      <x:c r="I109" s="12"/>
    </x:row>
    <x:row r="110">
      <x:c r="A110" s="37"/>
      <x:c r="B110" s="12"/>
      <x:c r="C110" s="12"/>
      <x:c r="D110" s="12"/>
      <x:c r="E110" s="12"/>
      <x:c r="F110" s="12"/>
      <x:c r="G110" s="12"/>
      <x:c r="H110" s="12"/>
      <x:c r="I110" s="12"/>
    </x:row>
    <x:row r="111">
      <x:c r="A111" s="37"/>
      <x:c r="B111" s="12"/>
      <x:c r="C111" s="12"/>
      <x:c r="D111" s="12"/>
      <x:c r="E111" s="12"/>
      <x:c r="F111" s="12"/>
      <x:c r="G111" s="12"/>
      <x:c r="H111" s="12"/>
      <x:c r="I111" s="12"/>
    </x:row>
    <x:row r="112">
      <x:c r="A112" s="37"/>
      <x:c r="B112" s="12"/>
      <x:c r="C112" s="12"/>
      <x:c r="D112" s="12"/>
      <x:c r="E112" s="12"/>
      <x:c r="F112" s="12"/>
      <x:c r="G112" s="12"/>
      <x:c r="H112" s="12"/>
      <x:c r="I112" s="12"/>
    </x:row>
    <x:row r="113">
      <x:c r="A113" s="37"/>
      <x:c r="B113" s="12"/>
      <x:c r="C113" s="12"/>
      <x:c r="D113" s="12"/>
      <x:c r="E113" s="12"/>
      <x:c r="F113" s="12"/>
      <x:c r="G113" s="12"/>
      <x:c r="H113" s="12"/>
      <x:c r="I113" s="12"/>
    </x:row>
    <x:row r="114">
      <x:c r="A114" s="37"/>
      <x:c r="B114" s="12"/>
      <x:c r="C114" s="12"/>
      <x:c r="D114" s="12"/>
      <x:c r="E114" s="12"/>
      <x:c r="F114" s="12"/>
      <x:c r="G114" s="12"/>
      <x:c r="H114" s="12"/>
      <x:c r="I114" s="12"/>
    </x:row>
    <x:row r="115">
      <x:c r="A115" s="37"/>
      <x:c r="B115" s="12"/>
      <x:c r="C115" s="12"/>
      <x:c r="D115" s="12"/>
      <x:c r="E115" s="12"/>
      <x:c r="F115" s="12"/>
      <x:c r="G115" s="12"/>
      <x:c r="H115" s="12"/>
      <x:c r="I115" s="12"/>
    </x:row>
    <x:row r="116">
      <x:c r="A116" s="37"/>
      <x:c r="B116" s="12"/>
      <x:c r="C116" s="12"/>
      <x:c r="D116" s="12"/>
      <x:c r="E116" s="12"/>
      <x:c r="F116" s="12"/>
      <x:c r="G116" s="12"/>
      <x:c r="H116" s="12"/>
      <x:c r="I116" s="12"/>
    </x:row>
    <x:row r="117">
      <x:c r="A117" s="37"/>
      <x:c r="B117" s="12"/>
      <x:c r="C117" s="12"/>
      <x:c r="D117" s="12"/>
      <x:c r="E117" s="12"/>
      <x:c r="F117" s="12"/>
      <x:c r="G117" s="12"/>
      <x:c r="H117" s="12"/>
      <x:c r="I117" s="12"/>
    </x:row>
    <x:row r="118">
      <x:c r="A118" s="37"/>
      <x:c r="B118" s="12"/>
      <x:c r="C118" s="12"/>
      <x:c r="D118" s="12"/>
      <x:c r="E118" s="12"/>
      <x:c r="F118" s="12"/>
      <x:c r="G118" s="12"/>
      <x:c r="H118" s="12"/>
      <x:c r="I118" s="12"/>
    </x:row>
    <x:row r="119">
      <x:c r="A119" s="37"/>
      <x:c r="B119" s="12"/>
      <x:c r="C119" s="12"/>
      <x:c r="D119" s="12"/>
      <x:c r="E119" s="12"/>
      <x:c r="F119" s="12"/>
      <x:c r="G119" s="12"/>
      <x:c r="H119" s="12"/>
      <x:c r="I119" s="12"/>
    </x:row>
    <x:row r="120">
      <x:c r="A120" s="37"/>
      <x:c r="B120" s="12"/>
      <x:c r="C120" s="12"/>
      <x:c r="D120" s="12"/>
      <x:c r="E120" s="12"/>
      <x:c r="F120" s="12"/>
      <x:c r="G120" s="12"/>
      <x:c r="H120" s="12"/>
      <x:c r="I120" s="12"/>
    </x:row>
    <x:row r="121">
      <x:c r="A121" s="37"/>
      <x:c r="B121" s="12"/>
      <x:c r="C121" s="12"/>
      <x:c r="D121" s="12"/>
      <x:c r="E121" s="12"/>
      <x:c r="F121" s="12"/>
      <x:c r="G121" s="12"/>
      <x:c r="H121" s="12"/>
      <x:c r="I121" s="12"/>
    </x:row>
    <x:row r="122">
      <x:c r="A122" s="37"/>
      <x:c r="B122" s="12"/>
      <x:c r="C122" s="12"/>
      <x:c r="D122" s="12"/>
      <x:c r="E122" s="12"/>
      <x:c r="F122" s="12"/>
      <x:c r="G122" s="12"/>
      <x:c r="H122" s="12"/>
      <x:c r="I122" s="12"/>
    </x:row>
    <x:row r="123">
      <x:c r="A123" s="37"/>
      <x:c r="B123" s="12"/>
      <x:c r="C123" s="12"/>
      <x:c r="D123" s="12"/>
      <x:c r="E123" s="12"/>
      <x:c r="F123" s="12"/>
      <x:c r="G123" s="12"/>
      <x:c r="H123" s="12"/>
      <x:c r="I123" s="12"/>
    </x:row>
    <x:row r="124">
      <x:c r="A124" s="37"/>
      <x:c r="B124" s="12"/>
      <x:c r="C124" s="12"/>
      <x:c r="D124" s="12"/>
      <x:c r="E124" s="12"/>
      <x:c r="F124" s="12"/>
      <x:c r="G124" s="12"/>
      <x:c r="H124" s="12"/>
      <x:c r="I124" s="12"/>
    </x:row>
    <x:row r="125">
      <x:c r="A125" s="37"/>
      <x:c r="B125" s="12"/>
      <x:c r="C125" s="12"/>
      <x:c r="D125" s="12"/>
      <x:c r="E125" s="12"/>
      <x:c r="F125" s="12"/>
      <x:c r="G125" s="12"/>
      <x:c r="H125" s="12"/>
      <x:c r="I125" s="12"/>
    </x:row>
    <x:row r="126">
      <x:c r="A126" s="37"/>
      <x:c r="B126" s="12"/>
      <x:c r="C126" s="12"/>
      <x:c r="D126" s="12"/>
      <x:c r="E126" s="12"/>
      <x:c r="F126" s="12"/>
      <x:c r="G126" s="12"/>
      <x:c r="H126" s="12"/>
      <x:c r="I126" s="12"/>
    </x:row>
    <x:row r="127">
      <x:c r="A127" s="37"/>
      <x:c r="B127" s="12"/>
      <x:c r="C127" s="12"/>
      <x:c r="D127" s="12"/>
      <x:c r="E127" s="12"/>
      <x:c r="F127" s="12"/>
      <x:c r="G127" s="12"/>
      <x:c r="H127" s="12"/>
      <x:c r="I127" s="12"/>
    </x:row>
    <x:row r="128">
      <x:c r="A128" s="37"/>
      <x:c r="B128" s="12"/>
      <x:c r="C128" s="12"/>
      <x:c r="D128" s="12"/>
      <x:c r="E128" s="12"/>
      <x:c r="F128" s="12"/>
      <x:c r="G128" s="12"/>
      <x:c r="H128" s="12"/>
      <x:c r="I128" s="12"/>
    </x:row>
    <x:row r="129">
      <x:c r="A129" s="37"/>
      <x:c r="B129" s="12"/>
      <x:c r="C129" s="12"/>
      <x:c r="D129" s="12"/>
      <x:c r="E129" s="12"/>
      <x:c r="F129" s="12"/>
      <x:c r="G129" s="12"/>
      <x:c r="H129" s="12"/>
      <x:c r="I129" s="12"/>
    </x:row>
    <x:row r="130">
      <x:c r="A130" s="37"/>
      <x:c r="B130" s="12"/>
      <x:c r="C130" s="12"/>
      <x:c r="D130" s="12"/>
      <x:c r="E130" s="12"/>
      <x:c r="F130" s="12"/>
      <x:c r="G130" s="12"/>
      <x:c r="H130" s="12"/>
      <x:c r="I130" s="12"/>
    </x:row>
    <x:row r="131">
      <x:c r="A131" s="37"/>
      <x:c r="B131" s="12"/>
      <x:c r="C131" s="12"/>
      <x:c r="D131" s="12"/>
      <x:c r="E131" s="12"/>
      <x:c r="F131" s="12"/>
      <x:c r="G131" s="12"/>
      <x:c r="H131" s="12"/>
      <x:c r="I131" s="12"/>
    </x:row>
    <x:row r="132">
      <x:c r="A132" s="37"/>
      <x:c r="B132" s="12"/>
      <x:c r="C132" s="12"/>
      <x:c r="D132" s="12"/>
      <x:c r="E132" s="12"/>
      <x:c r="F132" s="12"/>
      <x:c r="G132" s="12"/>
      <x:c r="H132" s="12"/>
      <x:c r="I132" s="12"/>
    </x:row>
    <x:row r="133">
      <x:c r="A133" s="37"/>
      <x:c r="B133" s="12"/>
      <x:c r="C133" s="12"/>
      <x:c r="D133" s="12"/>
      <x:c r="E133" s="12"/>
      <x:c r="F133" s="12"/>
      <x:c r="G133" s="12"/>
      <x:c r="H133" s="12"/>
      <x:c r="I133" s="12"/>
    </x:row>
    <x:row r="134">
      <x:c r="A134" s="37"/>
      <x:c r="B134" s="12"/>
      <x:c r="C134" s="12"/>
      <x:c r="D134" s="12"/>
      <x:c r="E134" s="12"/>
      <x:c r="F134" s="12"/>
      <x:c r="G134" s="12"/>
      <x:c r="H134" s="12"/>
      <x:c r="I134" s="12"/>
    </x:row>
    <x:row r="135">
      <x:c r="A135" s="37"/>
      <x:c r="B135" s="12"/>
      <x:c r="C135" s="12"/>
      <x:c r="D135" s="12"/>
      <x:c r="E135" s="12"/>
      <x:c r="F135" s="12"/>
      <x:c r="G135" s="12"/>
      <x:c r="H135" s="12"/>
      <x:c r="I135" s="12"/>
    </x:row>
    <x:row r="136">
      <x:c r="A136" s="37"/>
      <x:c r="B136" s="12"/>
      <x:c r="C136" s="12"/>
      <x:c r="D136" s="12"/>
      <x:c r="E136" s="12"/>
      <x:c r="F136" s="12"/>
      <x:c r="G136" s="12"/>
      <x:c r="H136" s="12"/>
      <x:c r="I136" s="12"/>
    </x:row>
    <x:row r="137">
      <x:c r="A137" s="37"/>
      <x:c r="B137" s="12"/>
      <x:c r="C137" s="12"/>
      <x:c r="D137" s="12"/>
      <x:c r="E137" s="12"/>
      <x:c r="F137" s="12"/>
      <x:c r="G137" s="12"/>
      <x:c r="H137" s="12"/>
      <x:c r="I137" s="12"/>
    </x:row>
    <x:row r="138">
      <x:c r="A138" s="37"/>
      <x:c r="B138" s="12"/>
      <x:c r="C138" s="12"/>
      <x:c r="D138" s="12"/>
      <x:c r="E138" s="12"/>
      <x:c r="F138" s="12"/>
      <x:c r="G138" s="12"/>
      <x:c r="H138" s="12"/>
      <x:c r="I138" s="12"/>
    </x:row>
    <x:row r="139">
      <x:c r="A139" s="37"/>
      <x:c r="B139" s="12"/>
      <x:c r="C139" s="12"/>
      <x:c r="D139" s="12"/>
      <x:c r="E139" s="12"/>
      <x:c r="F139" s="12"/>
      <x:c r="G139" s="12"/>
      <x:c r="H139" s="12"/>
      <x:c r="I139" s="12"/>
    </x:row>
    <x:row r="140">
      <x:c r="A140" s="37"/>
      <x:c r="B140" s="12"/>
      <x:c r="C140" s="12"/>
      <x:c r="D140" s="12"/>
      <x:c r="E140" s="12"/>
      <x:c r="F140" s="12"/>
      <x:c r="G140" s="12"/>
      <x:c r="H140" s="12"/>
      <x:c r="I140" s="12"/>
    </x:row>
    <x:row r="141">
      <x:c r="A141" s="37"/>
      <x:c r="B141" s="12"/>
      <x:c r="C141" s="12"/>
      <x:c r="D141" s="12"/>
      <x:c r="E141" s="12"/>
      <x:c r="F141" s="12"/>
      <x:c r="G141" s="12"/>
      <x:c r="H141" s="12"/>
      <x:c r="I141" s="12"/>
    </x:row>
    <x:row r="142">
      <x:c r="A142" s="37"/>
      <x:c r="B142" s="12"/>
      <x:c r="C142" s="12"/>
      <x:c r="D142" s="12"/>
      <x:c r="E142" s="12"/>
      <x:c r="F142" s="12"/>
      <x:c r="G142" s="12"/>
      <x:c r="H142" s="12"/>
      <x:c r="I142" s="12"/>
    </x:row>
    <x:row r="143">
      <x:c r="A143" s="37"/>
      <x:c r="B143" s="12"/>
      <x:c r="C143" s="12"/>
      <x:c r="D143" s="12"/>
      <x:c r="E143" s="12"/>
      <x:c r="F143" s="12"/>
      <x:c r="G143" s="12"/>
      <x:c r="H143" s="12"/>
      <x:c r="I143" s="12"/>
    </x:row>
    <x:row r="144">
      <x:c r="A144" s="37"/>
      <x:c r="B144" s="12"/>
      <x:c r="C144" s="12"/>
      <x:c r="D144" s="12"/>
      <x:c r="E144" s="12"/>
      <x:c r="F144" s="12"/>
      <x:c r="G144" s="12"/>
      <x:c r="H144" s="12"/>
      <x:c r="I144" s="12"/>
    </x:row>
    <x:row r="145">
      <x:c r="A145" s="37"/>
      <x:c r="B145" s="12"/>
      <x:c r="C145" s="12"/>
      <x:c r="D145" s="12"/>
      <x:c r="E145" s="12"/>
      <x:c r="F145" s="12"/>
      <x:c r="G145" s="12"/>
      <x:c r="H145" s="12"/>
      <x:c r="I145" s="12"/>
    </x:row>
    <x:row r="146">
      <x:c r="A146" s="37"/>
      <x:c r="B146" s="12"/>
      <x:c r="C146" s="12"/>
      <x:c r="D146" s="12"/>
      <x:c r="E146" s="12"/>
      <x:c r="F146" s="12"/>
      <x:c r="G146" s="12"/>
      <x:c r="H146" s="12"/>
      <x:c r="I146" s="12"/>
    </x:row>
    <x:row r="147">
      <x:c r="A147" s="37"/>
      <x:c r="B147" s="12"/>
      <x:c r="C147" s="12"/>
      <x:c r="D147" s="12"/>
      <x:c r="E147" s="12"/>
      <x:c r="F147" s="12"/>
      <x:c r="G147" s="12"/>
      <x:c r="H147" s="12"/>
      <x:c r="I147" s="12"/>
    </x:row>
    <x:row r="148">
      <x:c r="A148" s="37"/>
      <x:c r="B148" s="12"/>
      <x:c r="C148" s="12"/>
      <x:c r="D148" s="12"/>
      <x:c r="E148" s="12"/>
      <x:c r="F148" s="12"/>
      <x:c r="G148" s="12"/>
      <x:c r="H148" s="12"/>
      <x:c r="I148" s="12"/>
    </x:row>
    <x:row r="149">
      <x:c r="A149" s="37"/>
      <x:c r="B149" s="12"/>
      <x:c r="C149" s="12"/>
      <x:c r="D149" s="12"/>
      <x:c r="E149" s="12"/>
      <x:c r="F149" s="12"/>
      <x:c r="G149" s="12"/>
      <x:c r="H149" s="12"/>
      <x:c r="I149" s="12"/>
    </x:row>
    <x:row r="150">
      <x:c r="A150" s="37"/>
      <x:c r="B150" s="12"/>
      <x:c r="C150" s="12"/>
      <x:c r="D150" s="12"/>
      <x:c r="E150" s="12"/>
      <x:c r="F150" s="12"/>
      <x:c r="G150" s="12"/>
      <x:c r="H150" s="12"/>
      <x:c r="I150" s="12"/>
    </x:row>
    <x:row r="151">
      <x:c r="A151" s="37"/>
      <x:c r="B151" s="12"/>
      <x:c r="C151" s="12"/>
      <x:c r="D151" s="12"/>
      <x:c r="E151" s="12"/>
      <x:c r="F151" s="12"/>
      <x:c r="G151" s="12"/>
      <x:c r="H151" s="12"/>
      <x:c r="I151" s="12"/>
    </x:row>
    <x:row r="152">
      <x:c r="A152" s="37"/>
      <x:c r="B152" s="12"/>
      <x:c r="C152" s="12"/>
      <x:c r="D152" s="12"/>
      <x:c r="E152" s="12"/>
      <x:c r="F152" s="12"/>
      <x:c r="G152" s="12"/>
      <x:c r="H152" s="12"/>
      <x:c r="I152" s="12"/>
    </x:row>
    <x:row r="153">
      <x:c r="A153" s="37"/>
      <x:c r="B153" s="12"/>
      <x:c r="C153" s="12"/>
      <x:c r="D153" s="12"/>
      <x:c r="E153" s="12"/>
      <x:c r="F153" s="12"/>
      <x:c r="G153" s="12"/>
      <x:c r="H153" s="12"/>
      <x:c r="I153" s="12"/>
    </x:row>
    <x:row r="154">
      <x:c r="A154" s="37"/>
      <x:c r="B154" s="12"/>
      <x:c r="C154" s="12"/>
      <x:c r="D154" s="12"/>
      <x:c r="E154" s="12"/>
      <x:c r="F154" s="12"/>
      <x:c r="G154" s="12"/>
      <x:c r="H154" s="12"/>
      <x:c r="I154" s="12"/>
    </x:row>
    <x:row r="155">
      <x:c r="A155" s="37"/>
      <x:c r="B155" s="12"/>
      <x:c r="C155" s="12"/>
      <x:c r="D155" s="12"/>
      <x:c r="E155" s="12"/>
      <x:c r="F155" s="12"/>
      <x:c r="G155" s="12"/>
      <x:c r="H155" s="12"/>
      <x:c r="I155" s="12"/>
    </x:row>
    <x:row r="156">
      <x:c r="A156" s="37"/>
      <x:c r="B156" s="12"/>
      <x:c r="C156" s="12"/>
      <x:c r="D156" s="12"/>
      <x:c r="E156" s="12"/>
      <x:c r="F156" s="12"/>
      <x:c r="G156" s="12"/>
      <x:c r="H156" s="12"/>
      <x:c r="I156" s="12"/>
    </x:row>
    <x:row r="157">
      <x:c r="A157" s="37"/>
      <x:c r="B157" s="12"/>
      <x:c r="C157" s="12"/>
      <x:c r="D157" s="12"/>
      <x:c r="E157" s="12"/>
      <x:c r="F157" s="12"/>
      <x:c r="G157" s="12"/>
      <x:c r="H157" s="12"/>
      <x:c r="I157" s="12"/>
    </x:row>
    <x:row r="158">
      <x:c r="A158" s="37"/>
      <x:c r="B158" s="12"/>
      <x:c r="C158" s="12"/>
      <x:c r="D158" s="12"/>
      <x:c r="E158" s="12"/>
      <x:c r="F158" s="12"/>
      <x:c r="G158" s="12"/>
      <x:c r="H158" s="12"/>
      <x:c r="I158" s="12"/>
    </x:row>
    <x:row r="159">
      <x:c r="A159" s="37"/>
      <x:c r="B159" s="12"/>
      <x:c r="C159" s="12"/>
      <x:c r="D159" s="12"/>
      <x:c r="E159" s="12"/>
      <x:c r="F159" s="12"/>
      <x:c r="G159" s="12"/>
      <x:c r="H159" s="12"/>
      <x:c r="I159" s="12"/>
    </x:row>
    <x:row r="160">
      <x:c r="A160" s="37"/>
      <x:c r="B160" s="12"/>
      <x:c r="C160" s="12"/>
      <x:c r="D160" s="12"/>
      <x:c r="E160" s="12"/>
      <x:c r="F160" s="12"/>
      <x:c r="G160" s="12"/>
      <x:c r="H160" s="12"/>
      <x:c r="I160" s="12"/>
    </x:row>
    <x:row r="161">
      <x:c r="A161" s="37"/>
      <x:c r="B161" s="12"/>
      <x:c r="C161" s="12"/>
      <x:c r="D161" s="12"/>
      <x:c r="E161" s="12"/>
      <x:c r="F161" s="12"/>
      <x:c r="G161" s="12"/>
      <x:c r="H161" s="12"/>
      <x:c r="I161" s="12"/>
    </x:row>
    <x:row r="162">
      <x:c r="A162" s="37"/>
      <x:c r="B162" s="12"/>
      <x:c r="C162" s="12"/>
      <x:c r="D162" s="12"/>
      <x:c r="E162" s="12"/>
      <x:c r="F162" s="12"/>
      <x:c r="G162" s="12"/>
      <x:c r="H162" s="12"/>
      <x:c r="I162" s="12"/>
    </x:row>
    <x:row r="163">
      <x:c r="A163" s="37"/>
      <x:c r="B163" s="12"/>
      <x:c r="C163" s="12"/>
      <x:c r="D163" s="12"/>
      <x:c r="E163" s="12"/>
      <x:c r="F163" s="12"/>
      <x:c r="G163" s="12"/>
      <x:c r="H163" s="12"/>
      <x:c r="I163" s="12"/>
    </x:row>
    <x:row r="164">
      <x:c r="A164" s="37"/>
      <x:c r="B164" s="12"/>
      <x:c r="C164" s="12"/>
      <x:c r="D164" s="12"/>
      <x:c r="E164" s="12"/>
      <x:c r="F164" s="12"/>
      <x:c r="G164" s="12"/>
      <x:c r="H164" s="12"/>
      <x:c r="I164" s="12"/>
    </x:row>
    <x:row r="165">
      <x:c r="A165" s="37"/>
      <x:c r="B165" s="12"/>
      <x:c r="C165" s="12"/>
      <x:c r="D165" s="12"/>
      <x:c r="E165" s="12"/>
      <x:c r="F165" s="12"/>
      <x:c r="G165" s="12"/>
      <x:c r="H165" s="12"/>
      <x:c r="I165" s="12"/>
    </x:row>
    <x:row r="166">
      <x:c r="A166" s="37"/>
      <x:c r="B166" s="12"/>
      <x:c r="C166" s="12"/>
      <x:c r="D166" s="12"/>
      <x:c r="E166" s="12"/>
      <x:c r="F166" s="12"/>
      <x:c r="G166" s="12"/>
      <x:c r="H166" s="12"/>
      <x:c r="I166" s="12"/>
    </x:row>
    <x:row r="167">
      <x:c r="A167" s="37"/>
      <x:c r="B167" s="12"/>
      <x:c r="C167" s="12"/>
      <x:c r="D167" s="12"/>
      <x:c r="E167" s="12"/>
      <x:c r="F167" s="12"/>
      <x:c r="G167" s="12"/>
      <x:c r="H167" s="12"/>
      <x:c r="I167" s="12"/>
    </x:row>
    <x:row r="168">
      <x:c r="A168" s="37"/>
      <x:c r="B168" s="12"/>
      <x:c r="C168" s="12"/>
      <x:c r="D168" s="12"/>
      <x:c r="E168" s="12"/>
      <x:c r="F168" s="12"/>
      <x:c r="G168" s="12"/>
      <x:c r="H168" s="12"/>
      <x:c r="I168" s="12"/>
    </x:row>
    <x:row r="169">
      <x:c r="A169" s="37"/>
      <x:c r="B169" s="12"/>
      <x:c r="C169" s="12"/>
      <x:c r="D169" s="12"/>
      <x:c r="E169" s="12"/>
      <x:c r="F169" s="12"/>
      <x:c r="G169" s="12"/>
      <x:c r="H169" s="12"/>
      <x:c r="I169" s="12"/>
    </x:row>
    <x:row r="170">
      <x:c r="A170" s="37"/>
      <x:c r="B170" s="12"/>
      <x:c r="C170" s="12"/>
      <x:c r="D170" s="12"/>
      <x:c r="E170" s="12"/>
      <x:c r="F170" s="12"/>
      <x:c r="G170" s="12"/>
      <x:c r="H170" s="12"/>
      <x:c r="I170" s="12"/>
    </x:row>
    <x:row r="171">
      <x:c r="A171" s="37"/>
      <x:c r="B171" s="12"/>
      <x:c r="C171" s="12"/>
      <x:c r="D171" s="12"/>
      <x:c r="E171" s="12"/>
      <x:c r="F171" s="12"/>
      <x:c r="G171" s="12"/>
      <x:c r="H171" s="12"/>
      <x:c r="I171" s="12"/>
    </x:row>
    <x:row r="172">
      <x:c r="A172" s="37"/>
      <x:c r="B172" s="12"/>
      <x:c r="C172" s="12"/>
      <x:c r="D172" s="12"/>
      <x:c r="E172" s="12"/>
      <x:c r="F172" s="12"/>
      <x:c r="G172" s="12"/>
      <x:c r="H172" s="12"/>
      <x:c r="I172" s="12"/>
    </x:row>
    <x:row r="173">
      <x:c r="A173" s="37"/>
      <x:c r="B173" s="12"/>
      <x:c r="C173" s="12"/>
      <x:c r="D173" s="12"/>
      <x:c r="E173" s="12"/>
      <x:c r="F173" s="12"/>
      <x:c r="G173" s="12"/>
      <x:c r="H173" s="12"/>
      <x:c r="I173" s="12"/>
    </x:row>
    <x:row r="174">
      <x:c r="A174" s="37"/>
      <x:c r="B174" s="12"/>
      <x:c r="C174" s="12"/>
      <x:c r="D174" s="12"/>
      <x:c r="E174" s="12"/>
      <x:c r="F174" s="12"/>
      <x:c r="G174" s="12"/>
      <x:c r="H174" s="12"/>
      <x:c r="I174" s="12"/>
    </x:row>
    <x:row r="175">
      <x:c r="A175" s="37"/>
      <x:c r="B175" s="12"/>
      <x:c r="C175" s="12"/>
      <x:c r="D175" s="12"/>
      <x:c r="E175" s="12"/>
      <x:c r="F175" s="12"/>
      <x:c r="G175" s="12"/>
      <x:c r="H175" s="12"/>
      <x:c r="I175" s="12"/>
    </x:row>
    <x:row r="176">
      <x:c r="A176" s="37"/>
      <x:c r="B176" s="12"/>
      <x:c r="C176" s="12"/>
      <x:c r="D176" s="12"/>
      <x:c r="E176" s="12"/>
      <x:c r="F176" s="12"/>
      <x:c r="G176" s="12"/>
      <x:c r="H176" s="12"/>
      <x:c r="I176" s="12"/>
    </x:row>
    <x:row r="177">
      <x:c r="A177" s="37"/>
      <x:c r="B177" s="12"/>
      <x:c r="C177" s="12"/>
      <x:c r="D177" s="12"/>
      <x:c r="E177" s="12"/>
      <x:c r="F177" s="12"/>
      <x:c r="G177" s="12"/>
      <x:c r="H177" s="12"/>
      <x:c r="I177" s="12"/>
    </x:row>
    <x:row r="178">
      <x:c r="A178" s="37"/>
      <x:c r="B178" s="12"/>
      <x:c r="C178" s="12"/>
      <x:c r="D178" s="12"/>
      <x:c r="E178" s="12"/>
      <x:c r="F178" s="12"/>
      <x:c r="G178" s="12"/>
      <x:c r="H178" s="12"/>
      <x:c r="I178" s="12"/>
    </x:row>
    <x:row r="179">
      <x:c r="A179" s="37"/>
      <x:c r="B179" s="12"/>
      <x:c r="C179" s="12"/>
      <x:c r="D179" s="12"/>
      <x:c r="E179" s="12"/>
      <x:c r="F179" s="12"/>
      <x:c r="G179" s="12"/>
      <x:c r="H179" s="12"/>
      <x:c r="I179" s="12"/>
    </x:row>
    <x:row r="180">
      <x:c r="A180" s="37"/>
      <x:c r="B180" s="12"/>
      <x:c r="C180" s="12"/>
      <x:c r="D180" s="12"/>
      <x:c r="E180" s="12"/>
      <x:c r="F180" s="12"/>
      <x:c r="G180" s="12"/>
      <x:c r="H180" s="12"/>
      <x:c r="I180" s="12"/>
    </x:row>
    <x:row r="181">
      <x:c r="A181" s="37"/>
      <x:c r="B181" s="12"/>
      <x:c r="C181" s="12"/>
      <x:c r="D181" s="12"/>
      <x:c r="E181" s="12"/>
      <x:c r="F181" s="12"/>
      <x:c r="G181" s="12"/>
      <x:c r="H181" s="12"/>
      <x:c r="I181" s="12"/>
    </x:row>
    <x:row r="182">
      <x:c r="A182" s="37"/>
      <x:c r="B182" s="12"/>
      <x:c r="C182" s="12"/>
      <x:c r="D182" s="12"/>
      <x:c r="E182" s="12"/>
      <x:c r="F182" s="12"/>
      <x:c r="G182" s="12"/>
      <x:c r="H182" s="12"/>
      <x:c r="I182" s="12"/>
    </x:row>
    <x:row r="183">
      <x:c r="A183" s="37"/>
      <x:c r="B183" s="12"/>
      <x:c r="C183" s="12"/>
      <x:c r="D183" s="12"/>
      <x:c r="E183" s="12"/>
      <x:c r="F183" s="12"/>
      <x:c r="G183" s="12"/>
      <x:c r="H183" s="12"/>
      <x:c r="I183" s="12"/>
    </x:row>
    <x:row r="184">
      <x:c r="A184" s="37"/>
      <x:c r="B184" s="12"/>
      <x:c r="C184" s="12"/>
      <x:c r="D184" s="12"/>
      <x:c r="E184" s="12"/>
      <x:c r="F184" s="12"/>
      <x:c r="G184" s="12"/>
      <x:c r="H184" s="12"/>
      <x:c r="I184" s="12"/>
    </x:row>
    <x:row r="185">
      <x:c r="A185" s="37"/>
      <x:c r="B185" s="12"/>
      <x:c r="C185" s="12"/>
      <x:c r="D185" s="12"/>
      <x:c r="E185" s="12"/>
      <x:c r="F185" s="12"/>
      <x:c r="G185" s="12"/>
      <x:c r="H185" s="12"/>
      <x:c r="I185" s="12"/>
    </x:row>
    <x:row r="186">
      <x:c r="A186" s="37"/>
      <x:c r="B186" s="12"/>
      <x:c r="C186" s="12"/>
      <x:c r="D186" s="12"/>
      <x:c r="E186" s="12"/>
      <x:c r="F186" s="12"/>
      <x:c r="G186" s="12"/>
      <x:c r="H186" s="12"/>
      <x:c r="I186" s="12"/>
    </x:row>
    <x:row r="187">
      <x:c r="A187" s="37"/>
      <x:c r="B187" s="12"/>
      <x:c r="C187" s="12"/>
      <x:c r="D187" s="12"/>
      <x:c r="E187" s="12"/>
      <x:c r="F187" s="12"/>
      <x:c r="G187" s="12"/>
      <x:c r="H187" s="12"/>
      <x:c r="I187" s="12"/>
    </x:row>
    <x:row r="188">
      <x:c r="A188" s="37"/>
      <x:c r="B188" s="12"/>
      <x:c r="C188" s="12"/>
      <x:c r="D188" s="12"/>
      <x:c r="E188" s="12"/>
      <x:c r="F188" s="12"/>
      <x:c r="G188" s="12"/>
      <x:c r="H188" s="12"/>
      <x:c r="I188" s="12"/>
    </x:row>
    <x:row r="189">
      <x:c r="A189" s="37"/>
      <x:c r="B189" s="12"/>
      <x:c r="C189" s="12"/>
      <x:c r="D189" s="12"/>
      <x:c r="E189" s="12"/>
      <x:c r="F189" s="12"/>
      <x:c r="G189" s="12"/>
      <x:c r="H189" s="12"/>
      <x:c r="I189" s="12"/>
    </x:row>
    <x:row r="190">
      <x:c r="A190" s="37"/>
      <x:c r="B190" s="12"/>
      <x:c r="C190" s="12"/>
      <x:c r="D190" s="12"/>
      <x:c r="E190" s="12"/>
      <x:c r="F190" s="12"/>
      <x:c r="G190" s="12"/>
      <x:c r="H190" s="12"/>
      <x:c r="I190" s="12"/>
    </x:row>
    <x:row r="191">
      <x:c r="A191" s="37"/>
      <x:c r="B191" s="12"/>
      <x:c r="C191" s="12"/>
      <x:c r="D191" s="12"/>
      <x:c r="E191" s="12"/>
      <x:c r="F191" s="12"/>
      <x:c r="G191" s="12"/>
      <x:c r="H191" s="12"/>
      <x:c r="I191" s="12"/>
    </x:row>
    <x:row r="192">
      <x:c r="A192" s="37"/>
      <x:c r="B192" s="12"/>
      <x:c r="C192" s="12"/>
      <x:c r="D192" s="12"/>
      <x:c r="E192" s="12"/>
      <x:c r="F192" s="12"/>
      <x:c r="G192" s="12"/>
      <x:c r="H192" s="12"/>
      <x:c r="I192" s="12"/>
    </x:row>
    <x:row r="193">
      <x:c r="A193" s="37"/>
      <x:c r="B193" s="12"/>
      <x:c r="C193" s="12"/>
      <x:c r="D193" s="12"/>
      <x:c r="E193" s="12"/>
      <x:c r="F193" s="12"/>
      <x:c r="G193" s="12"/>
      <x:c r="H193" s="12"/>
      <x:c r="I193" s="12"/>
    </x:row>
    <x:row r="194">
      <x:c r="A194" s="37"/>
      <x:c r="B194" s="12"/>
      <x:c r="C194" s="12"/>
      <x:c r="D194" s="12"/>
      <x:c r="E194" s="12"/>
      <x:c r="F194" s="12"/>
      <x:c r="G194" s="12"/>
      <x:c r="H194" s="12"/>
      <x:c r="I194" s="12"/>
    </x:row>
    <x:row r="195">
      <x:c r="A195" s="37"/>
      <x:c r="B195" s="12"/>
      <x:c r="C195" s="12"/>
      <x:c r="D195" s="12"/>
      <x:c r="E195" s="12"/>
      <x:c r="F195" s="12"/>
      <x:c r="G195" s="12"/>
      <x:c r="H195" s="12"/>
      <x:c r="I195" s="12"/>
    </x:row>
    <x:row r="196">
      <x:c r="A196" s="37"/>
      <x:c r="B196" s="12"/>
      <x:c r="C196" s="12"/>
      <x:c r="D196" s="12"/>
      <x:c r="E196" s="12"/>
      <x:c r="F196" s="12"/>
      <x:c r="G196" s="12"/>
      <x:c r="H196" s="12"/>
      <x:c r="I196" s="12"/>
    </x:row>
    <x:row r="197">
      <x:c r="A197" s="37"/>
      <x:c r="B197" s="12"/>
      <x:c r="C197" s="12"/>
      <x:c r="D197" s="12"/>
      <x:c r="E197" s="12"/>
      <x:c r="F197" s="12"/>
      <x:c r="G197" s="12"/>
      <x:c r="H197" s="12"/>
      <x:c r="I197" s="12"/>
    </x:row>
    <x:row r="198">
      <x:c r="A198" s="37"/>
      <x:c r="B198" s="12"/>
      <x:c r="C198" s="12"/>
      <x:c r="D198" s="12"/>
      <x:c r="E198" s="12"/>
      <x:c r="F198" s="12"/>
      <x:c r="G198" s="12"/>
      <x:c r="H198" s="12"/>
      <x:c r="I198" s="12"/>
    </x:row>
    <x:row r="199">
      <x:c r="A199" s="37"/>
      <x:c r="B199" s="12"/>
      <x:c r="C199" s="12"/>
      <x:c r="D199" s="12"/>
      <x:c r="E199" s="12"/>
      <x:c r="F199" s="12"/>
      <x:c r="G199" s="12"/>
      <x:c r="H199" s="12"/>
      <x:c r="I199" s="12"/>
    </x:row>
    <x:row r="200">
      <x:c r="A200" s="37"/>
      <x:c r="B200" s="12"/>
      <x:c r="C200" s="12"/>
      <x:c r="D200" s="12"/>
      <x:c r="E200" s="12"/>
      <x:c r="F200" s="12"/>
      <x:c r="G200" s="12"/>
      <x:c r="H200" s="12"/>
      <x:c r="I200" s="12"/>
    </x:row>
  </x:sheetData>
  <x:dataValidations count="5">
    <x:dataValidation type="list" sqref="C2:C200">
      <x:formula1>"Proceed,Iterate,Park,Kill"</x:formula1>
    </x:dataValidation>
    <x:dataValidation type="list" sqref="F2:F200">
      <x:formula1>"Yes,No,Partially"</x:formula1>
    </x:dataValidation>
    <x:dataValidation type="list" sqref="G2:G200">
      <x:formula1>"Cheick,Codex,GPT,TBD"</x:formula1>
    </x:dataValidation>
    <x:dataValidation type="list" sqref="F13">
      <x:formula1>"Yes,No"</x:formula1>
    </x:dataValidation>
    <x:dataValidation type="list" sqref="G13">
      <x:formula1>"Cheick,Codex,GPT,TBD"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eacaaf13b3400d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5.75" hidden="0" customWidth="1"/>
    <x:col min="2" max="2" width="11.130000114440918" hidden="0" customWidth="1"/>
    <x:col min="3" max="3" width="38" hidden="0" customWidth="1"/>
    <x:col min="4" max="4" width="8.880000114440918" hidden="0" customWidth="1"/>
    <x:col min="5" max="5" width="8.880000114440918" hidden="0" customWidth="1"/>
    <x:col min="6" max="6" width="44" hidden="0" customWidth="1"/>
    <x:col min="7" max="7" width="36" hidden="0" customWidth="1"/>
    <x:col min="8" max="8" width="7.5" hidden="0" customWidth="1"/>
    <x:col min="9" max="9" width="9.5" hidden="0" customWidth="1"/>
  </x:cols>
  <x:sheetData>
    <x:row r="1" ht="30" customHeight="1">
      <x:c r="A1" s="6" t="str">
        <x:v>Risk ID</x:v>
      </x:c>
      <x:c r="B1" s="6" t="str">
        <x:v>Area</x:v>
      </x:c>
      <x:c r="C1" s="6" t="str">
        <x:v>Risk</x:v>
      </x:c>
      <x:c r="D1" s="6" t="str">
        <x:v>Likelihood</x:v>
      </x:c>
      <x:c r="E1" s="6" t="str">
        <x:v>Impact</x:v>
      </x:c>
      <x:c r="F1" s="6" t="str">
        <x:v>Mitigation</x:v>
      </x:c>
      <x:c r="G1" s="6" t="str">
        <x:v>Trigger</x:v>
      </x:c>
      <x:c r="H1" s="6" t="str">
        <x:v>Owner</x:v>
      </x:c>
      <x:c r="I1" s="6" t="str">
        <x:v>Status</x:v>
      </x:c>
    </x:row>
    <x:row r="2" ht="26.399999618530273" hidden="0" customHeight="1">
      <x:c r="A2" s="14" t="str">
        <x:v>R1</x:v>
      </x:c>
      <x:c r="B2" s="14" t="str">
        <x:v>Data access</x:v>
      </x:c>
      <x:c r="C2" s="14" t="str">
        <x:v>A command accidentally downloads a huge dataset slice.</x:v>
      </x:c>
      <x:c r="D2" s="14" t="str">
        <x:v>Medium</x:v>
      </x:c>
      <x:c r="E2" s="14" t="str">
        <x:v>High</x:v>
      </x:c>
      <x:c r="F2" s="14" t="str">
        <x:v>Dry-run default, max files, max total size, explicit `--execute`.</x:v>
      </x:c>
      <x:c r="G2" s="14" t="str">
        <x:v>Download plan exceeds threshold or lacks size estimate.</x:v>
      </x:c>
      <x:c r="H2" s="14" t="str">
        <x:v>Codex</x:v>
      </x:c>
      <x:c r="I2" s="14" t="str">
        <x:v>Open</x:v>
      </x:c>
    </x:row>
    <x:row r="3" ht="26.399999618530273" hidden="0" customHeight="1">
      <x:c r="A3" s="14" t="str">
        <x:v>R2</x:v>
      </x:c>
      <x:c r="B3" s="14" t="str">
        <x:v>Data quality</x:v>
      </x:c>
      <x:c r="C3" s="14" t="str">
        <x:v>Events or labels are silently misaligned with signal windows.</x:v>
      </x:c>
      <x:c r="D3" s="14" t="str">
        <x:v>Medium</x:v>
      </x:c>
      <x:c r="E3" s="14" t="str">
        <x:v>High</x:v>
      </x:c>
      <x:c r="F3" s="14" t="str">
        <x:v>Print parsed fields, dropped rows, timestamps, and confidence; add synthetic alignment tests.</x:v>
      </x:c>
      <x:c r="G3" s="14" t="str">
        <x:v>Unexpected offsets, many dropped events, or suspiciously high scores.</x:v>
      </x:c>
      <x:c r="H3" s="14" t="str">
        <x:v>Codex</x:v>
      </x:c>
      <x:c r="I3" s="14" t="str">
        <x:v>Open</x:v>
      </x:c>
    </x:row>
    <x:row r="4" ht="26.399999618530273" hidden="0" customHeight="1">
      <x:c r="A4" s="14" t="str">
        <x:v>R3</x:v>
      </x:c>
      <x:c r="B4" s="14" t="str">
        <x:v>Evaluation</x:v>
      </x:c>
      <x:c r="C4" s="14" t="str">
        <x:v>Language-only baseline explains most apparent progress.</x:v>
      </x:c>
      <x:c r="D4" s="14" t="str">
        <x:v>High</x:v>
      </x:c>
      <x:c r="E4" s="14" t="str">
        <x:v>Medium</x:v>
      </x:c>
      <x:c r="F4" s="14" t="str">
        <x:v>Run LM/prior-only baseline beside every neural result.</x:v>
      </x:c>
      <x:c r="G4" s="14" t="str">
        <x:v>Brain model barely beats prior-only baseline.</x:v>
      </x:c>
      <x:c r="H4" s="14" t="str">
        <x:v>GPT</x:v>
      </x:c>
      <x:c r="I4" s="14" t="str">
        <x:v>Watching</x:v>
      </x:c>
    </x:row>
    <x:row r="5" ht="26.399999618530273" hidden="0" customHeight="1">
      <x:c r="A5" s="14" t="str">
        <x:v>R4</x:v>
      </x:c>
      <x:c r="B5" s="14" t="str">
        <x:v>Overfitting</x:v>
      </x:c>
      <x:c r="C5" s="14" t="str">
        <x:v>Tiny loop overfits one block and looks better than it is.</x:v>
      </x:c>
      <x:c r="D5" s="14" t="str">
        <x:v>High</x:v>
      </x:c>
      <x:c r="E5" s="14" t="str">
        <x:v>Medium</x:v>
      </x:c>
      <x:c r="F5" s="14" t="str">
        <x:v>Add split protocol early; name split type in every report.</x:v>
      </x:c>
      <x:c r="G5" s="14" t="str">
        <x:v>Random split score much higher than session/subject split.</x:v>
      </x:c>
      <x:c r="H5" s="14" t="str">
        <x:v>Codex</x:v>
      </x:c>
      <x:c r="I5" s="14" t="str">
        <x:v>Open</x:v>
      </x:c>
    </x:row>
    <x:row r="6" ht="26.399999618530273" hidden="0" customHeight="1">
      <x:c r="A6" s="14" t="str">
        <x:v>R5</x:v>
      </x:c>
      <x:c r="B6" s="14" t="str">
        <x:v>Licensing</x:v>
      </x:c>
      <x:c r="C6" s="14" t="str">
        <x:v>Research dataset license is accidentally treated as commercial-ready.</x:v>
      </x:c>
      <x:c r="D6" s="14" t="str">
        <x:v>Low</x:v>
      </x:c>
      <x:c r="E6" s="14" t="str">
        <x:v>High</x:v>
      </x:c>
      <x:c r="F6" s="14" t="str">
        <x:v>Keep license notes in docs and generated metadata; avoid commercial claims.</x:v>
      </x:c>
      <x:c r="G6" s="14" t="str">
        <x:v>Repo/readme implies product or clinical use.</x:v>
      </x:c>
      <x:c r="H6" s="14" t="str">
        <x:v>Cheick</x:v>
      </x:c>
      <x:c r="I6" s="14" t="str">
        <x:v>Open</x:v>
      </x:c>
    </x:row>
    <x:row r="7" ht="26.399999618530273" hidden="0" customHeight="1">
      <x:c r="A7" s="14" t="str">
        <x:v>R6</x:v>
      </x:c>
      <x:c r="B7" s="14" t="str">
        <x:v>Dependencies</x:v>
      </x:c>
      <x:c r="C7" s="14" t="str">
        <x:v>Package becomes heavy and fragile too early.</x:v>
      </x:c>
      <x:c r="D7" s="14" t="str">
        <x:v>Medium</x:v>
      </x:c>
      <x:c r="E7" s="14" t="str">
        <x:v>Medium</x:v>
      </x:c>
      <x:c r="F7" s="14" t="str">
        <x:v>Optional extras for neuro/deep/demo dependencies; graceful import errors.</x:v>
      </x:c>
      <x:c r="G7" s="14" t="str">
        <x:v>Basic CLI import requires MNE/Torch/Gradio.</x:v>
      </x:c>
      <x:c r="H7" s="14" t="str">
        <x:v>Codex</x:v>
      </x:c>
      <x:c r="I7" s="14" t="str">
        <x:v>Open</x:v>
      </x:c>
    </x:row>
    <x:row r="8" ht="26.399999618530273" hidden="0" customHeight="1">
      <x:c r="A8" s="14" t="str">
        <x:v>R7</x:v>
      </x:c>
      <x:c r="B8" s="14" t="str">
        <x:v>Narrative</x:v>
      </x:c>
      <x:c r="C8" s="14" t="str">
        <x:v>Demo implies arbitrary thought reading rather than task-specific decoding.</x:v>
      </x:c>
      <x:c r="D8" s="14" t="str">
        <x:v>Medium</x:v>
      </x:c>
      <x:c r="E8" s="14" t="str">
        <x:v>High</x:v>
      </x:c>
      <x:c r="F8" s="14" t="str">
        <x:v>Add limitations copy and avoid clinical/mind-reading claims.</x:v>
      </x:c>
      <x:c r="G8" s="14" t="str">
        <x:v>External writeup overstates capability.</x:v>
      </x:c>
      <x:c r="H8" s="14" t="str">
        <x:v>Cheick</x:v>
      </x:c>
      <x:c r="I8" s="14" t="str">
        <x:v>Watching</x:v>
      </x:c>
    </x:row>
    <x:row r="9" ht="39.599998474121094" hidden="0" customHeight="1">
      <x:c r="A9" s="14" t="str">
        <x:v>R8</x:v>
      </x:c>
      <x:c r="B9" s="14" t="str">
        <x:v>Roadmap</x:v>
      </x:c>
      <x:c r="C9" s="14" t="str">
        <x:v>Public Brain2Qwerty v2 code is mistaken for a locally reproduced v2 result while EnglishBCBL data and required GPU scale remain unavailable.</x:v>
      </x:c>
      <x:c r="D9" s="14" t="str">
        <x:v>Medium</x:v>
      </x:c>
      <x:c r="E9" s="14" t="str">
        <x:v>High</x:v>
      </x:c>
      <x:c r="F9" s="14" t="str">
        <x:v>Treat SpanishBCBL CTC as a small surrogate; cite the official code commit and data embargo; report compute, data, and latency gaps.</x:v>
      </x:c>
      <x:c r="G9" s="14" t="str">
        <x:v>A local smoke metric is compared to the v2 paper, or implementation silently assumes EnglishBCBL or multi-GPU hardware.</x:v>
      </x:c>
      <x:c r="H9" s="14" t="str">
        <x:v>Codex</x:v>
      </x:c>
      <x:c r="I9" s="14" t="str">
        <x:v>Watching</x:v>
      </x:c>
    </x:row>
    <x:row r="10" ht="39.599998474121094" hidden="0" customHeight="1">
      <x:c r="A10" s="12" t="str">
        <x:v>R9</x:v>
      </x:c>
      <x:c r="B10" s="12" t="str">
        <x:v>Hardware accessibility</x:v>
      </x:c>
      <x:c r="C10" s="12" t="str">
        <x:v>Local CPU success is mistaken for at-home sensor readiness; EEG accuracy loss and OPM shielding requirements are ignored.</x:v>
      </x:c>
      <x:c r="D10" s="12" t="str">
        <x:v>High</x:v>
      </x:c>
      <x:c r="E10" s="12" t="str">
        <x:v>High</x:v>
      </x:c>
      <x:c r="F10" s="12" t="str">
        <x:v>Track compute, sensor modality, shielding, motion, and causal latency as separate gates; cite primary hardware evidence.</x:v>
      </x:c>
      <x:c r="G10" s="12" t="str">
        <x:v>A demo or roadmap calls the current MEG, EEG, or OPM path consumer-ready.</x:v>
      </x:c>
      <x:c r="H10" s="12" t="str">
        <x:v>Cheick</x:v>
      </x:c>
      <x:c r="I10" s="12" t="str">
        <x:v>Watching</x:v>
      </x:c>
    </x:row>
    <x:row r="11" ht="39.599998474121094" hidden="0" customHeight="1">
      <x:c r="A11" s="12" t="str">
        <x:v>R10</x:v>
      </x:c>
      <x:c r="B11" s="12" t="str">
        <x:v>Compression evidence</x:v>
      </x:c>
      <x:c r="C11" s="12" t="str">
        <x:v>Lower sampling or channel counts are presented as retained neural accuracy based on stable scaled RMS or a fit inside one block.</x:v>
      </x:c>
      <x:c r="D11" s="12" t="str">
        <x:v>High</x:v>
      </x:c>
      <x:c r="E11" s="12" t="str">
        <x:v>High</x:v>
      </x:c>
      <x:c r="F11" s="12" t="str">
        <x:v>Require a second block/session split for accuracy; report Nyquist and spatial-information losses; keep resource sweeps score-free.</x:v>
      </x:c>
      <x:c r="G11" s="12" t="str">
        <x:v>A report uses accuracy-retained language without independent evaluation, or selects a rate/channel count from one block.</x:v>
      </x:c>
      <x:c r="H11" s="12" t="str">
        <x:v>Codex</x:v>
      </x:c>
      <x:c r="I11" s="12" t="str">
        <x:v>Watching</x:v>
      </x:c>
    </x:row>
    <x:row r="12" ht="108" hidden="0" customHeight="1">
      <x:c r="A12" s="14" t="str">
        <x:v>R11</x:v>
      </x:c>
      <x:c r="B12" s="14" t="str">
        <x:v>Sensor selection</x:v>
      </x:c>
      <x:c r="C12" s="14" t="str">
        <x:v>A geometry or variance proxy selected on one S21 block is mistaken for a generally optimal layout or an OPM-ready hardware design.</x:v>
      </x:c>
      <x:c r="D12" s="14" t="str">
        <x:v>High</x:v>
      </x:c>
      <x:c r="E12" s="14" t="str">
        <x:v>High</x:v>
      </x:c>
      <x:c r="F12" s="14" t="str">
        <x:v>Pre-register FPS and variance candidates; fit variance only on training data; evaluate held-out block/session/subject accuracy; keep modality, shielding, and geometry caveats explicit.</x:v>
      </x:c>
      <x:c r="G12" s="14" t="str">
        <x:v>A subset is called optimal, accuracy-preserving, anatomical, or OPM-ready without held-out decoding and hardware validation.</x:v>
      </x:c>
      <x:c r="H12" s="14" t="str">
        <x:v>Codex</x:v>
      </x:c>
      <x:c r="I12" s="14" t="str">
        <x:v>Watching</x:v>
      </x:c>
    </x:row>
    <x:row r="13" ht="84" customHeight="1">
      <x:c r="A13" s="14" t="str">
        <x:v>R12</x:v>
      </x:c>
      <x:c r="B13" s="14" t="str">
        <x:v>Precision / storage</x:v>
      </x:c>
      <x:c r="C13" s="14" t="str">
        <x:v>Low reconstruction error is mistaken for retained decoder accuracy or integer-only local inference.</x:v>
      </x:c>
      <x:c r="D13" s="14" t="str">
        <x:v>High</x:v>
      </x:c>
      <x:c r="E13" s="14" t="str">
        <x:v>High</x:v>
      </x:c>
      <x:c r="F13" s="14" t="str">
        <x:v>Keep float32 as default; evaluate packed candidates on one fixed held-out split; report clipping separately; state that current payloads decode to float32.</x:v>
      </x:c>
      <x:c r="G13" s="14" t="str">
        <x:v>A report calls a packed cache accuracy-preserving, lower-RAM inference, real-time, or device-ready without a held-out decoder and model-runtime measurement.</x:v>
      </x:c>
      <x:c r="H13" s="14" t="str">
        <x:v>Codex</x:v>
      </x:c>
      <x:c r="I13" s="14" t="str">
        <x:v>Watching</x:v>
      </x:c>
    </x:row>
    <x:row r="14" ht="78" customHeight="1">
      <x:c r="A14" s="12" t="str">
        <x:v>R13</x:v>
      </x:c>
      <x:c r="B14" s="12" t="str">
        <x:v>Backend scaling</x:v>
      </x:c>
      <x:c r="C14" s="12" t="str">
        <x:v>The parked Zarr decision is misread as a universal format verdict and future NPZ limits go unmonitored.</x:v>
      </x:c>
      <x:c r="D14" s="12" t="str">
        <x:v>Medium</x:v>
      </x:c>
      <x:c r="E14" s="12" t="str">
        <x:v>Medium</x:v>
      </x:c>
      <x:c r="F14" s="12" t="str">
        <x:v>Preserve the Loop 13 thresholds; rerun on larger caches or repeated subarray workflows; require semantic parity before any backend adoption.</x:v>
      </x:c>
      <x:c r="G14" s="12" t="str">
        <x:v>A cache crosses a size/time/RSS threshold, or training repeatedly reads subarrays while the old park decision is cited as final.</x:v>
      </x:c>
      <x:c r="H14" s="12" t="str">
        <x:v>Codex</x:v>
      </x:c>
      <x:c r="I14" s="12" t="str">
        <x:v>Watching</x:v>
      </x:c>
    </x:row>
    <x:row r="15" ht="96" customHeight="1">
      <x:c r="A15" s="12" t="str">
        <x:v>R14</x:v>
      </x:c>
      <x:c r="B15" s="12" t="str">
        <x:v>Evaluation leakage</x:v>
      </x:c>
      <x:c r="C15" s="12" t="str">
        <x:v>A valid sentence-membership table is mistaken for a strict evaluation even though scaling or sensor selection used validation/test rows.</x:v>
      </x:c>
      <x:c r="D15" s="12" t="str">
        <x:v>Medium</x:v>
      </x:c>
      <x:c r="E15" s="12" t="str">
        <x:v>High</x:v>
      </x:c>
      <x:c r="F15" s="12" t="str">
        <x:v>Require fit_split=train plus matching protocol and semantic-membership hashes; freeze transforms for validation/test; block unsupported session/subject claims.</x:v>
      </x:c>
      <x:c r="G15" s="12" t="str">
        <x:v>A report cites strict membership while cache metadata lacks matching train-fit provenance, or aliases are counted as independent people.</x:v>
      </x:c>
      <x:c r="H15" s="12" t="str">
        <x:v>Codex</x:v>
      </x:c>
      <x:c r="I15" s="12" t="str">
        <x:v>Mitigated</x:v>
      </x:c>
    </x:row>
    <x:row r="16" ht="112" customHeight="1">
      <x:c r="A16" s="12" t="str">
        <x:v>R15</x:v>
      </x:c>
      <x:c r="B16" s="12" t="str">
        <x:v>Holdout reuse</x:v>
      </x:c>
      <x:c r="C16" s="12" t="str">
        <x:v>Architecture, adapters, sensors, or precision are tuned against the five source test rows or observed 63-row session-2 evaluation until a known difference looks meaningful.</x:v>
      </x:c>
      <x:c r="D16" s="12" t="str">
        <x:v>High</x:v>
      </x:c>
      <x:c r="E16" s="12" t="str">
        <x:v>High</x:v>
      </x:c>
      <x:c r="F16" s="12" t="str">
        <x:v>Freeze both observed holdouts; fit on source train only; select on source validation only; develop adapters on synthetic shift; pre-register the next real comparison and disclose all attempts.</x:v>
      </x:c>
      <x:c r="G16" s="12" t="str">
        <x:v>A new choice is justified by source-test or session-2 results, repeated holdout runs accumulate, or observed session 2 is described as untouched after tuning.</x:v>
      </x:c>
      <x:c r="H16" s="12" t="str">
        <x:v>Codex</x:v>
      </x:c>
      <x:c r="I16" s="12" t="str">
        <x:v>Active</x:v>
      </x:c>
    </x:row>
    <x:row r="17" ht="78" customHeight="1">
      <x:c r="A17" s="14" t="str">
        <x:v>R16</x:v>
      </x:c>
      <x:c r="B17" s="14" t="str">
        <x:v>Synthetic validity</x:v>
      </x:c>
      <x:c r="C17" s="14" t="str">
        <x:v>A diagonal synthetic shift may make robust affine adaptation look unrealistically complete.</x:v>
      </x:c>
      <x:c r="D17" s="14" t="str">
        <x:v>High</x:v>
      </x:c>
      <x:c r="E17" s="14" t="str">
        <x:v>High</x:v>
      </x:c>
      <x:c r="F17" s="14" t="str">
        <x:v>Run multiple seeds, at least five calibration sizes, unpaired calibration, and non-diagonal or time-varying shifts before any real-data adapter claim.</x:v>
      </x:c>
      <x:c r="G17" s="14" t="str">
        <x:v>Near-perfect synthetic reconstruction without an untouched real-session benefit result.</x:v>
      </x:c>
      <x:c r="H17" s="14" t="str">
        <x:v>Codex</x:v>
      </x:c>
      <x:c r="I17" s="14" t="str">
        <x:v>Active</x:v>
      </x:c>
    </x:row>
    <x:row r="18" ht="88" customHeight="1">
      <x:c r="A18" s="14" t="str">
        <x:v>R17</x:v>
      </x:c>
      <x:c r="B18" s="14" t="str">
        <x:v>Adapter scope</x:v>
      </x:c>
      <x:c r="C18" s="14" t="str">
        <x:v>Automatic static robust-affine adaptation is applied when target drift includes channel mixing or changes within a sentence, worsening decoding relative to identity.</x:v>
      </x:c>
      <x:c r="D18" s="14" t="str">
        <x:v>High</x:v>
      </x:c>
      <x:c r="E18" s="14" t="str">
        <x:v>High</x:v>
      </x:c>
      <x:c r="F18" s="14" t="str">
        <x:v>Keep identity as the default fallback; identify the shift family on synthetic validation; gate covariance-aware and causal rolling methods separately before any real evaluation.</x:v>
      </x:c>
      <x:c r="G18" s="14" t="str">
        <x:v>Adapted validation CER exceeds identity, covariance changes remain after scaling, or rolling-window statistics move materially within one sequence.</x:v>
      </x:c>
      <x:c r="H18" s="14" t="str">
        <x:v>Codex</x:v>
      </x:c>
      <x:c r="I18" s="14" t="str">
        <x:v>Active</x:v>
      </x:c>
    </x:row>
    <x:row r="19" ht="91.5" customHeight="1">
      <x:c r="A19" s="12" t="str">
        <x:v>R18</x:v>
      </x:c>
      <x:c r="B19" s="12" t="str">
        <x:v>Demo interpretation</x:v>
      </x:c>
      <x:c r="C19" s="12" t="str">
        <x:v>Perfect synthetic examples or aggregate real metrics are mistaken for a live real-MEG decoder, calibrated confidence, arbitrary-thought reading, or at-home hardware evidence.</x:v>
      </x:c>
      <x:c r="D19" s="12" t="str">
        <x:v>High</x:v>
      </x:c>
      <x:c r="E19" s="12" t="str">
        <x:v>High</x:v>
      </x:c>
      <x:c r="F19" s="12" t="str">
        <x:v>Keep the proof strip visible; label examples synthetic and real rows aggregate-only; show confidence as unavailable; expose noncausal/task/hardware boundaries; publish provenance and audit checks.</x:v>
      </x:c>
      <x:c r="G19" s="12" t="str">
        <x:v>A screenshot, writeup, or downstream report omits synthetic, aggregate-only, noncausal, confidence-unavailable, or typing-task-specific labels.</x:v>
      </x:c>
      <x:c r="H19" s="12" t="str">
        <x:v>Codex</x:v>
      </x:c>
      <x:c r="I19" s="12" t="str">
        <x:v>Active</x:v>
      </x:c>
    </x:row>
    <x:row r="20" ht="91.5" customHeight="1">
      <x:c r="A20" s="12" t="str">
        <x:v>R19</x:v>
      </x:c>
      <x:c r="B20" s="12" t="str">
        <x:v>Leaderboard comparability</x:v>
      </x:c>
      <x:c r="C20" s="12" t="str">
        <x:v>A rank across different tasks, units, splits, subjects, proof postures, or metrics is presented as a global model winner.</x:v>
      </x:c>
      <x:c r="D20" s="12" t="str">
        <x:v>High</x:v>
      </x:c>
      <x:c r="E20" s="12" t="str">
        <x:v>High</x:v>
      </x:c>
      <x:c r="F20" s="12" t="str">
        <x:v>Authorize ranks only inside exact cohorts; expose CER, WER, and SemER separately; keep synthetic, real, event, sentence, fit-on-eval, and consumed-holdout evidence distinct; set global winner to null.</x:v>
      </x:c>
      <x:c r="G20" s="12" t="str">
        <x:v>A downstream table drops cohort/proof labels, merges event and sentence rows, hides fit-on-eval status, or selects one metric without disclosing disagreement.</x:v>
      </x:c>
      <x:c r="H20" s="12" t="str">
        <x:v>Codex</x:v>
      </x:c>
      <x:c r="I20" s="12" t="str">
        <x:v>Active</x:v>
      </x:c>
    </x:row>
    <x:row r="21" ht="99" customHeight="1">
      <x:c r="A21" s="12" t="str">
        <x:v>R20</x:v>
      </x:c>
      <x:c r="B21" s="12" t="str">
        <x:v>EEG interpretation</x:v>
      </x:c>
      <x:c r="C21" s="12" t="str">
        <x:v>A trigger-aligned cache or one minimally processed within-session S7 event result is presented as useful brain-to-text, EEG-MEG equivalence, portable sensing, or consumer hardware evidence.</x:v>
      </x:c>
      <x:c r="D21" s="12" t="str">
        <x:v>High</x:v>
      </x:c>
      <x:c r="E21" s="12" t="str">
        <x:v>High</x:v>
      </x:c>
      <x:c r="F21" s="12" t="str">
        <x:v>Keep EEG and MEG in separate cohorts; report exact key-label accuracy beside the train-only prior; label CER non-primary for key tokens; require explicit preprocessing plus independent session/subject protocols before any EEG performance or portability claim.</x:v>
      </x:c>
      <x:c r="G21" s="12" t="str">
        <x:v>A report cites alignment/cache completion as decoding performance, hides the 0.009091 versus 0.122727 negative result, compares EEG and MEG globally, or mentions at-home/consumer readiness.</x:v>
      </x:c>
      <x:c r="H21" s="12" t="str">
        <x:v>Codex</x:v>
      </x:c>
      <x:c r="I21" s="12" t="str">
        <x:v>Active</x:v>
      </x:c>
    </x:row>
    <x:row r="22" ht="106.5" customHeight="1">
      <x:c r="A22" s="12" t="str">
        <x:v>R21</x:v>
      </x:c>
      <x:c r="B22" s="12" t="str">
        <x:v>Neurotoken and streaming interpretation</x:v>
      </x:c>
      <x:c r="C22" s="12" t="str">
        <x:v>Synthetic random-projection vectors or producer frame timing are presented as learned brain words, useful neural semantics, a causal decoder, or measured real-time brain-to-text.</x:v>
      </x:c>
      <x:c r="D22" s="12" t="str">
        <x:v>High</x:v>
      </x:c>
      <x:c r="E22" s="12" t="str">
        <x:v>High</x:v>
      </x:c>
      <x:c r="F22" s="12" t="str">
        <x:v>Label vectors continuous, synthetic, target-free, and unlearned; keep producer causality, decoder causality, right context, and end-to-end latency separate; require synthetic chunk/replay proof before a causal decoder and a preregistered real cohort before performance claims.</x:v>
      </x:c>
      <x:c r="G22" s="12" t="str">
        <x:v>A report calls Loop 20 vectors discrete or learned neurotokens, cites the 160-ms frame width as end-to-end latency, or omits that decoder causality and decoding value are untested.</x:v>
      </x:c>
      <x:c r="H22" s="12" t="str">
        <x:v>Codex</x:v>
      </x:c>
      <x:c r="I22" s="12" t="str">
        <x:v>Active</x:v>
      </x:c>
    </x:row>
    <x:row r="23" ht="106.5" customHeight="1">
      <x:c r="A23" s="12" t="str">
        <x:v>R22</x:v>
      </x:c>
      <x:c r="B23" s="12" t="str">
        <x:v>Causal and latency claim collapse</x:v>
      </x:c>
      <x:c r="C23" s="12" t="str">
        <x:v>A zero-lookahead frame producer or low compute RTF is presented as stable incremental text, real-time end-to-end decoding, or responsive local hardware.</x:v>
      </x:c>
      <x:c r="D23" s="12" t="str">
        <x:v>High</x:v>
      </x:c>
      <x:c r="E23" s="12" t="str">
        <x:v>High</x:v>
      </x:c>
      <x:c r="F23" s="12" t="str">
        <x:v>Report frame availability, right context, scheduler delay, compute time/RTF, decoder emission/revisions, capture/preprocessing, and UI latency separately; do not use a producer benchmark as a text or device claim.</x:v>
      </x:c>
      <x:c r="G23" s="12" t="str">
        <x:v>A report cites the 160-ms first frame or sub-0.001 compute RTF as text latency while decoder causality, symbol stability, endpointing, or capture-to-render timing remains unavailable.</x:v>
      </x:c>
      <x:c r="H23" s="12" t="str">
        <x:v>Codex</x:v>
      </x:c>
      <x:c r="I23" s="12" t="str">
        <x:v>Active</x:v>
      </x:c>
    </x:row>
  </x:sheetData>
  <x:dataValidations count="8">
    <x:dataValidation type="list" sqref="D2:D200">
      <x:formula1>"Low,Medium,High"</x:formula1>
    </x:dataValidation>
    <x:dataValidation type="list" sqref="E2:E200">
      <x:formula1>"Low,Medium,High"</x:formula1>
    </x:dataValidation>
    <x:dataValidation type="list" sqref="H2:H200">
      <x:formula1>"Cheick,Codex,GPT,TBD"</x:formula1>
    </x:dataValidation>
    <x:dataValidation type="list" sqref="I2:I200">
      <x:formula1>"Open,Watching,Mitigated,Closed"</x:formula1>
    </x:dataValidation>
    <x:dataValidation type="list" sqref="D12">
      <x:formula1>"Low,Medium,High"</x:formula1>
    </x:dataValidation>
    <x:dataValidation type="list" sqref="E12">
      <x:formula1>"Low,Medium,High"</x:formula1>
    </x:dataValidation>
    <x:dataValidation type="list" sqref="H12">
      <x:formula1>"Cheick,Codex,GPT,TBD"</x:formula1>
    </x:dataValidation>
    <x:dataValidation type="list" sqref="I12">
      <x:formula1>"Open,Watching,Mitigated,Closed"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2c8b0b99b04d14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80" hidden="0" customWidth="1"/>
  </x:cols>
  <x:sheetData>
    <x:row r="1" ht="30" customHeight="1">
      <x:c r="A1" s="6" t="str">
        <x:v>Field</x:v>
      </x:c>
      <x:c r="B1" s="6" t="str">
        <x:v>Fill-in</x:v>
      </x:c>
    </x:row>
    <x:row r="2" ht="42" customHeight="1">
      <x:c r="A2" s="12" t="str">
        <x:v>Loop ID</x:v>
      </x:c>
      <x:c r="B2" s="12" t="str"/>
    </x:row>
    <x:row r="3" ht="42" customHeight="1">
      <x:c r="A3" s="12" t="str">
        <x:v>Hypothesis</x:v>
      </x:c>
      <x:c r="B3" s="12" t="str"/>
    </x:row>
    <x:row r="4" ht="42" customHeight="1">
      <x:c r="A4" s="12" t="str">
        <x:v>Smallest useful dataset</x:v>
      </x:c>
      <x:c r="B4" s="12" t="str"/>
    </x:row>
    <x:row r="5" ht="42" customHeight="1">
      <x:c r="A5" s="12" t="str">
        <x:v>Baseline</x:v>
      </x:c>
      <x:c r="B5" s="12" t="str"/>
    </x:row>
    <x:row r="6" ht="42" customHeight="1">
      <x:c r="A6" s="12" t="str">
        <x:v>Variant</x:v>
      </x:c>
      <x:c r="B6" s="12" t="str"/>
    </x:row>
    <x:row r="7" ht="42" customHeight="1">
      <x:c r="A7" s="12" t="str">
        <x:v>Split type</x:v>
      </x:c>
      <x:c r="B7" s="12" t="str">
        <x:v>event / sentence / session / subject</x:v>
      </x:c>
    </x:row>
    <x:row r="8" ht="42" customHeight="1">
      <x:c r="A8" s="12" t="str">
        <x:v>Primary metric</x:v>
      </x:c>
      <x:c r="B8" s="12" t="str"/>
    </x:row>
    <x:row r="9" ht="42" customHeight="1">
      <x:c r="A9" s="12" t="str">
        <x:v>Secondary metric</x:v>
      </x:c>
      <x:c r="B9" s="12" t="str"/>
    </x:row>
    <x:row r="10" ht="42" customHeight="1">
      <x:c r="A10" s="12" t="str">
        <x:v>Acceptance gate</x:v>
      </x:c>
      <x:c r="B10" s="12" t="str"/>
    </x:row>
    <x:row r="11" ht="42" customHeight="1">
      <x:c r="A11" s="12" t="str">
        <x:v>Kill / iterate / proceed rule</x:v>
      </x:c>
      <x:c r="B11" s="12" t="str"/>
    </x:row>
    <x:row r="12" ht="42" customHeight="1">
      <x:c r="A12" s="12" t="str">
        <x:v>Command(s)</x:v>
      </x:c>
      <x:c r="B12" s="12" t="str"/>
    </x:row>
    <x:row r="13" ht="42" customHeight="1">
      <x:c r="A13" s="12" t="str">
        <x:v>Result summary</x:v>
      </x:c>
      <x:c r="B13" s="12" t="str"/>
    </x:row>
    <x:row r="14" ht="42" customHeight="1">
      <x:c r="A14" s="12" t="str">
        <x:v>Decision</x:v>
      </x:c>
      <x:c r="B14" s="12" t="str"/>
    </x:row>
    <x:row r="15" ht="42" customHeight="1">
      <x:c r="A15" s="12" t="str">
        <x:v>Next loop impact</x:v>
      </x:c>
      <x:c r="B15" s="12" t="str"/>
    </x:row>
  </x:sheetData>
  <x:dataValidations count="1">
    <x:dataValidation type="list" sqref="B13">
      <x:formula1>"Proceed,Iterate,Park,Kill"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34" hidden="0" customWidth="1"/>
    <x:col min="3" max="3" width="80" hidden="0" customWidth="1"/>
  </x:cols>
  <x:sheetData>
    <x:row r="1" ht="30" customHeight="1">
      <x:c r="A1" s="6" t="str">
        <x:v>Loop ID</x:v>
      </x:c>
      <x:c r="B1" s="6" t="str">
        <x:v>Loop Name</x:v>
      </x:c>
      <x:c r="C1" s="6" t="str">
        <x:v>Prompt Seed</x:v>
      </x:c>
    </x:row>
    <x:row r="2" ht="58" customHeight="1">
      <x:c r="A2" s="14" t="n">
        <x:v>1</x:v>
      </x:c>
      <x:c r="B2" s="14" t="str">
        <x:v>PR1 Closeout + Smoke Loop</x:v>
      </x:c>
      <x:c r="C2" s="14" t="str">
        <x:v>Read PR1 diff, run tests, generate one synthetic cache, then attempt real one-block extraction only if files exist.</x:v>
      </x:c>
    </x:row>
    <x:row r="3" ht="58" customHeight="1">
      <x:c r="A3" s="14" t="n">
        <x:v>2</x:v>
      </x:c>
      <x:c r="B3" s="14" t="str">
        <x:v>SpanishBCBL Manifest v1</x:v>
      </x:c>
      <x:c r="C3" s="14" t="str">
        <x:v>Harden `manifest-from-paths` and produce a manifest summary with explicit unknowns rather than guessing.</x:v>
      </x:c>
    </x:row>
    <x:row r="4" ht="58" customHeight="1">
      <x:c r="A4" s="14" t="n">
        <x:v>3</x:v>
      </x:c>
      <x:c r="B4" s="14" t="str">
        <x:v>Safe Tiny-Shard Selector</x:v>
      </x:c>
      <x:c r="C4" s="14" t="str">
        <x:v>Make the tiny selector safety-first: max bytes, max files, dry-run default, and clear planned download report.</x:v>
      </x:c>
    </x:row>
    <x:row r="5" ht="58" customHeight="1">
      <x:c r="A5" s="14" t="n">
        <x:v>4</x:v>
      </x:c>
      <x:c r="B5" s="14" t="str">
        <x:v>B2Q-mini Cache v0</x:v>
      </x:c>
      <x:c r="C5" s="14" t="str">
        <x:v>Define the first stable tiny-cache schema and add a `load-cache` smoke command or test.</x:v>
      </x:c>
    </x:row>
    <x:row r="6" ht="58" customHeight="1">
      <x:c r="A6" s="14" t="n">
        <x:v>5</x:v>
      </x:c>
      <x:c r="B6" s="14" t="str">
        <x:v>Metrics + Error Report v1</x:v>
      </x:c>
      <x:c r="C6" s="14" t="str">
        <x:v>Build a report command that turns predictions + targets into a simple JSON/Markdown scorecard.</x:v>
      </x:c>
    </x:row>
    <x:row r="7" ht="58" customHeight="1">
      <x:c r="A7" s="14" t="n">
        <x:v>6</x:v>
      </x:c>
      <x:c r="B7" s="14" t="str">
        <x:v>LM-only / Prior-only Baseline</x:v>
      </x:c>
      <x:c r="C7" s="14" t="str">
        <x:v>Implement an intentionally dumb but critical no-brain baseline and wire it into the report.</x:v>
      </x:c>
    </x:row>
    <x:row r="8" ht="58" customHeight="1">
      <x:c r="A8" s="14" t="n">
        <x:v>7</x:v>
      </x:c>
      <x:c r="B8" s="14" t="str">
        <x:v>Template / Nearest-Centroid Baseline</x:v>
      </x:c>
      <x:c r="C8" s="14" t="str">
        <x:v>Build a tiny transparent classifier before any neural net. Make it boring and trustworthy.</x:v>
      </x:c>
    </x:row>
    <x:row r="9" ht="58" customHeight="1">
      <x:c r="A9" s="14" t="n">
        <x:v>8</x:v>
      </x:c>
      <x:c r="B9" s="14" t="str">
        <x:v>Tiny Conv / EEGNet-style Baseline</x:v>
      </x:c>
      <x:c r="C9" s="14" t="str">
        <x:v>Add a tiny neural baseline without making the package heavy; optional deps and fast smoke test only.</x:v>
      </x:c>
    </x:row>
    <x:row r="10" ht="58" customHeight="1">
      <x:c r="A10" s="14" t="n">
        <x:v>9</x:v>
      </x:c>
      <x:c r="B10" s="14" t="str">
        <x:v>CTC Character Decoder Scaffold</x:v>
      </x:c>
      <x:c r="C10" s="14" t="str">
        <x:v>Build a CPU-bounded continuous sentence cache and minimal CTC scaffold from validated S21 block1. Keep Torch optional; preserve the no-brain baseline; report shape, bytes, runtime, memory, CER, and blank rate; make no full-v2 performance claim.</x:v>
      </x:c>
    </x:row>
    <x:row r="11" ht="84" customHeight="1">
      <x:c r="A11" s="14" t="n">
        <x:v>10</x:v>
      </x:c>
      <x:c r="B11" s="14" t="str">
        <x:v>Sampling-Rate Sweep</x:v>
      </x:c>
      <x:c r="C11" s="14" t="str">
        <x:v>Run 100/50/25 Hz sentence-cache extraction from validated S21 block1 with identical 16-channel selection. Report bytes, runtime, peak RSS, valid lengths, CTC feasibility, and signal summaries; do not train or claim a real decoder.</x:v>
      </x:c>
    </x:row>
    <x:row r="12" ht="96" customHeight="1">
      <x:c r="A12" s="14" t="n">
        <x:v>11</x:v>
      </x:c>
      <x:c r="B12" s="14" t="str">
        <x:v>Channel / Sensor Subset Sweep</x:v>
      </x:c>
      <x:c r="C12" s="14" t="str">
        <x:v>Extract one 102-magnetometer 100 Hz S21 base cache with geometry before preload. Run nested 76/51/25/16/8 spatial-FPS, variance, random, and first-order subsets under 128 MiB; report resources, proxy metrics, overlaps, and exact identity without an accuracy or OPM claim.</x:v>
      </x:c>
    </x:row>
    <x:row r="13" ht="58" customHeight="1">
      <x:c r="A13" s="14" t="n">
        <x:v>12</x:v>
      </x:c>
      <x:c r="B13" s="14" t="str">
        <x:v>Precision + Storage Sweep</x:v>
      </x:c>
      <x:c r="C13" s="14" t="str">
        <x:v>On fixed Loop 11 base, FPS-16, and variance-16 caches, compare float32, float16, and calibrated integer/serialization variants. Record bytes, encode/load time, reconstruction RMSE/max error, saturation, and metadata identity; do not train or call a format accuracy-preserving.</x:v>
      </x:c>
    </x:row>
    <x:row r="14" ht="58" customHeight="1">
      <x:c r="A14" s="14" t="n">
        <x:v>13</x:v>
      </x:c>
      <x:c r="B14" s="14" t="str">
        <x:v>Measured Lazy-Backend Gate</x:v>
      </x:c>
      <x:c r="C14" s="14" t="str">
        <x:v>Run the bounded NPZ access gate first. Record relative inefficiency and absolute time/memory/size separately; add no backend without a failed measured gate and exact semantic-parity plan.</x:v>
      </x:c>
    </x:row>
    <x:row r="15" ht="96" customHeight="1">
      <x:c r="A15" s="14" t="n">
        <x:v>14</x:v>
      </x:c>
      <x:c r="B15" s="14" t="str">
        <x:v>Split Protocol v1</x:v>
      </x:c>
      <x:c r="C15" s="14" t="str">
        <x:v>Keep the strict 55/6/5 membership and five test rows frozen. Fit every data-dependent transform on train rows, compare neural and no-brain reports with paired uncertainty, and acquire another capped paired session before real adapter or candidate work.</x:v>
      </x:c>
    </x:row>
    <x:row r="16" ht="86" customHeight="1">
      <x:c r="A16" s="14" t="n">
        <x:v>15</x:v>
      </x:c>
      <x:c r="B16" s="14" t="str">
        <x:v>Normalization + Adapter Baseline</x:v>
      </x:c>
      <x:c r="C16" s="14" t="str">
        <x:v>Develop a synthetic domain-shift normalization/adapter gate and use only session-1 train rows for fit plus validation rows for selection. Keep source test and observed session 2 frozen; pre-register any next real comparison.</x:v>
      </x:c>
    </x:row>
    <x:row r="17" ht="58" customHeight="1">
      <x:c r="A17" s="14" t="n">
        <x:v>16</x:v>
      </x:c>
      <x:c r="B17" s="14" t="str">
        <x:v>Calibration Curve Study</x:v>
      </x:c>
      <x:c r="C17" s="14" t="str">
        <x:v>Build a CPU- and storage-bounded synthetic calibration curve for the robust channel-affine adapter. Use at least five calibration sizes, multiple shift seeds, unpaired target calibration, and one non-diagonal or time-varying shift. Report uncertainty and resource costs, compare against identity, and do not open any real holdout.</x:v>
      </x:c>
    </x:row>
    <x:row r="18" ht="58" customHeight="1">
      <x:c r="A18" s="14" t="n">
        <x:v>17</x:v>
      </x:c>
      <x:c r="B18" s="14" t="str">
        <x:v>Gradio Demo v1</x:v>
      </x:c>
      <x:c r="C18" s="14" t="str">
        <x:v>Build an honest, CPU-bounded Gradio demo from existing compact artifacts. Show a signal snippet, target, prediction, CER/WER, uncertainty, calibration status, and exact proof posture. Measure startup/RSS, keep Gradio optional, and state that the current typed-sentence CTC is noncausal and not arbitrary-thought decoding.</x:v>
      </x:c>
    </x:row>
    <x:row r="19" ht="78" customHeight="1">
      <x:c r="A19" s="14" t="n">
        <x:v>18</x:v>
      </x:c>
      <x:c r="B19" s="14" t="str">
        <x:v>Leaderboard + Report Cards</x:v>
      </x:c>
      <x:c r="C19" s="14" t="str">
        <x:v>Build Loop 18 as a local, artifact-only leaderboard. Define one versioned report-card contract for metrics, split/proof posture, comparator, resources, config, cache provenance, and missing-field flags; ingest at least three existing baselines without retraining or reopening observed real holdouts; emit deterministic JSON/Markdown plus one sortable CLI table; test malformed and mixed-version cards; report runtime, RSS, and bytes.</x:v>
      </x:c>
    </x:row>
    <x:row r="20" ht="81" customHeight="1">
      <x:c r="A20" s="14" t="n">
        <x:v>19</x:v>
      </x:c>
      <x:c r="B20" s="14" t="str">
        <x:v>EEG / MOABB Bridge</x:v>
      </x:c>
      <x:c r="C20" s="14" t="str">
        <x:v>Begin Loop 19 with a read-only, bounded EEG/MOABB-style bridge discovery gate. Identify the smallest task-compatible public EEG fixture, exact license, download bytes, optional dependency cost, channel/time/label mapping, and proof boundary before fetching data or adding code. Keep EEG and MEG report-card cohorts separate, default to no download, and define a CPU/storage acceptance gate plus a no-signal comparator.</x:v>
      </x:c>
    </x:row>
    <x:row r="21" ht="91.5" customHeight="1">
      <x:c r="A21" s="14" t="n">
        <x:v>20</x:v>
      </x:c>
      <x:c r="B21" s="14" t="str">
        <x:v>Neurotokens / v2-ready Interface</x:v>
      </x:c>
      <x:c r="C21" s="14" t="str">
        <x:v>Build Loop 20 as a small modality-aware NeuroTokenCache v0 interface over existing MEG/EEG arrays and synthetic embeddings. Define stable shape, dtype, timebase, channel/sensor geometry, validity mask, modality, split membership, source hashes, transformations, and resource metadata. Add synthetic contract and round-trip tests plus a bounded CLI smoke artifact. Do not assume unreleased Brain2Qwerty v2 data, train a larger model, reopen observed holdouts, or imply that embeddings are learned neurotokens with demonstrated decoding value.</x:v>
      </x:c>
    </x:row>
    <x:row r="22" ht="99" customHeight="1">
      <x:c r="A22" s="12" t="n">
        <x:v>21</x:v>
      </x:c>
      <x:c r="B22" s="12" t="str">
        <x:v>Causal NeuroToken Chunk/Replay</x:v>
      </x:c>
      <x:c r="C22" s="12" t="str">
        <x:v>Build a synthetic causal replay gate before any learned encoder or decoder. Define zero/right context, bounded mutable state, global frame timestamps, drop-incomplete flush behavior, several adversarial chunk schedules, offline compatibility, schedule-invariant output, scheduler delay, compute RTF, and strict access/resource caps. Do not open target arrays, real neural data, observed holdouts, or claim text/end-to-end latency.</x:v>
      </x:c>
    </x:row>
    <x:row r="23" ht="99" customHeight="1">
      <x:c r="A23" s="12" t="n">
        <x:v>22</x:v>
      </x:c>
      <x:c r="B23" s="12" t="str">
        <x:v>Tiny Learned Causal Encoder</x:v>
      </x:c>
      <x:c r="C23" s="12" t="str">
        <x:v>Train one optional-Torch causal encoder on synthetic train rows only, choose stopping/configuration on validation, compare with a no-signal prior, and open a frozen synthetic test once. Preserve Loop 21 chunk/state/timestamp equivalence and enforce parameter, mutable-state, CPU-thread, runtime, RSS, and artifact caps. Do not add a text decoder, language model, real-cache conversion, or observed MEG/EEG evaluation in this gate.</x:v>
      </x:c>
    </x:row>
  </x:sheetData>
  <x:pageMargins left="0.7" right="0.7" top="0.75" bottom="0.75" header="0.3" footer="0.3"/>
  <x:tableParts count="1">
    <x:tablePart xmlns:r="http://schemas.openxmlformats.org/officeDocument/2006/relationships" r:id="Rc84594e9b8cb4abd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.130000114440918" hidden="0" customWidth="1"/>
    <x:col min="2" max="2" width="6.25" hidden="0" customWidth="1"/>
    <x:col min="3" max="3" width="5.75" hidden="0" customWidth="1"/>
    <x:col min="4" max="4" width="4.75" hidden="0" customWidth="1"/>
    <x:col min="5" max="5" width="9.130000114440918" hidden="0" customWidth="1"/>
    <x:col min="6" max="6" width="7" hidden="0" customWidth="1"/>
    <x:col min="7" max="7" width="8.380000114440918" hidden="0" customWidth="1"/>
    <x:col min="8" max="8" width="6.880000114440918" hidden="0" customWidth="1"/>
    <x:col min="9" max="9" width="8.75" hidden="0" customWidth="1"/>
  </x:cols>
  <x:sheetData>
    <x:row r="1" ht="30" customHeight="1">
      <x:c r="A1" s="6" t="str">
        <x:v>Status</x:v>
      </x:c>
      <x:c r="B1" s="6" t="str">
        <x:v>Priority</x:v>
      </x:c>
      <x:c r="C1" s="6" t="str">
        <x:v>Owner</x:v>
      </x:c>
      <x:c r="D1" s="6" t="str">
        <x:v>Effort</x:v>
      </x:c>
      <x:c r="E1" s="6" t="str">
        <x:v>Complexity</x:v>
      </x:c>
      <x:c r="F1" s="6" t="str">
        <x:v>Decision</x:v>
      </x:c>
      <x:c r="G1" s="6" t="str">
        <x:v>Likelihood</x:v>
      </x:c>
      <x:c r="H1" s="6" t="str">
        <x:v>Impact</x:v>
      </x:c>
      <x:c r="I1" s="6" t="str">
        <x:v>Risk Status</x:v>
      </x:c>
    </x:row>
    <x:row r="2">
      <x:c r="A2" t="str">
        <x:v>Not Started</x:v>
      </x:c>
      <x:c r="B2" t="str">
        <x:v>P0</x:v>
      </x:c>
      <x:c r="C2" t="str">
        <x:v>Cheick</x:v>
      </x:c>
      <x:c r="D2" t="str">
        <x:v>XS</x:v>
      </x:c>
      <x:c r="E2" t="str">
        <x:v>Low</x:v>
      </x:c>
      <x:c r="F2" t="str">
        <x:v>Proceed</x:v>
      </x:c>
      <x:c r="G2" t="str">
        <x:v>Low</x:v>
      </x:c>
      <x:c r="H2" t="str">
        <x:v>Low</x:v>
      </x:c>
      <x:c r="I2" t="str">
        <x:v>Open</x:v>
      </x:c>
    </x:row>
    <x:row r="3">
      <x:c r="A3" t="str">
        <x:v>In Progress</x:v>
      </x:c>
      <x:c r="B3" t="str">
        <x:v>P1</x:v>
      </x:c>
      <x:c r="C3" t="str">
        <x:v>Codex</x:v>
      </x:c>
      <x:c r="D3" t="str">
        <x:v>S</x:v>
      </x:c>
      <x:c r="E3" t="str">
        <x:v>Medium</x:v>
      </x:c>
      <x:c r="F3" t="str">
        <x:v>Iterate</x:v>
      </x:c>
      <x:c r="G3" t="str">
        <x:v>Medium</x:v>
      </x:c>
      <x:c r="H3" t="str">
        <x:v>Medium</x:v>
      </x:c>
      <x:c r="I3" t="str">
        <x:v>Watching</x:v>
      </x:c>
    </x:row>
    <x:row r="4">
      <x:c r="A4" t="str">
        <x:v>Review</x:v>
      </x:c>
      <x:c r="B4" t="str">
        <x:v>P2</x:v>
      </x:c>
      <x:c r="C4" t="str">
        <x:v>GPT</x:v>
      </x:c>
      <x:c r="D4" t="str">
        <x:v>M</x:v>
      </x:c>
      <x:c r="E4" t="str">
        <x:v>High</x:v>
      </x:c>
      <x:c r="F4" t="str">
        <x:v>Park</x:v>
      </x:c>
      <x:c r="G4" t="str">
        <x:v>High</x:v>
      </x:c>
      <x:c r="H4" t="str">
        <x:v>High</x:v>
      </x:c>
      <x:c r="I4" t="str">
        <x:v>Mitigated</x:v>
      </x:c>
    </x:row>
    <x:row r="5">
      <x:c r="A5" t="str">
        <x:v>Blocked</x:v>
      </x:c>
      <x:c r="B5" t="str">
        <x:v>P3</x:v>
      </x:c>
      <x:c r="C5" t="str">
        <x:v>TBD</x:v>
      </x:c>
      <x:c r="D5" t="str">
        <x:v>L</x:v>
      </x:c>
      <x:c r="E5" t="str">
        <x:v>Spike</x:v>
      </x:c>
      <x:c r="F5" t="str">
        <x:v>Kill</x:v>
      </x:c>
      <x:c r="G5" t="str"/>
      <x:c r="H5" t="str"/>
      <x:c r="I5" t="str">
        <x:v>Closed</x:v>
      </x:c>
    </x:row>
    <x:row r="6">
      <x:c r="A6" t="str">
        <x:v>Done</x:v>
      </x:c>
      <x:c r="B6" t="str"/>
      <x:c r="C6" t="str"/>
      <x:c r="D6" t="str">
        <x:v>XL</x:v>
      </x:c>
      <x:c r="E6" t="str"/>
      <x:c r="F6" t="str"/>
      <x:c r="G6" t="str"/>
      <x:c r="H6" t="str"/>
      <x:c r="I6" t="str"/>
    </x:row>
    <x:row r="7">
      <x:c r="A7" t="str">
        <x:v>Parked</x:v>
      </x:c>
      <x:c r="B7" t="str"/>
      <x:c r="C7" t="str"/>
      <x:c r="D7" t="str"/>
      <x:c r="E7" t="str"/>
      <x:c r="F7" t="str"/>
      <x:c r="G7" t="str"/>
      <x:c r="H7" t="str"/>
      <x:c r="I7" t="str"/>
    </x:row>
  </x:sheetData>
  <x:pageMargins left="0.7" right="0.7" top="0.75" bottom="0.75" header="0.3" footer="0.3"/>
</x:worksheet>
</file>