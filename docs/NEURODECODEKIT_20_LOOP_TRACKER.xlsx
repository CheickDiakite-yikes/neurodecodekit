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dd428201d75408a" /></Relationships>
</file>

<file path=xl/workbook.xml><?xml version="1.0" encoding="utf-8"?>
<x:workbook xmlns:x="http://schemas.openxmlformats.org/spreadsheetml/2006/main">
  <x:sheets>
    <x:sheet xmlns:r="http://schemas.openxmlformats.org/officeDocument/2006/relationships" name="Dashboard" sheetId="1" r:id="Re24812e7e34d498b"/>
    <x:sheet xmlns:r="http://schemas.openxmlformats.org/officeDocument/2006/relationships" name="Loop Tracker" sheetId="2" r:id="Rab1d8239a2694ca5"/>
    <x:sheet xmlns:r="http://schemas.openxmlformats.org/officeDocument/2006/relationships" name="Decision Log" sheetId="3" r:id="R9e1af908775b48fd"/>
    <x:sheet xmlns:r="http://schemas.openxmlformats.org/officeDocument/2006/relationships" name="Risk Register" sheetId="4" r:id="Re3c833f788044b94"/>
    <x:sheet xmlns:r="http://schemas.openxmlformats.org/officeDocument/2006/relationships" name="Experiment Template" sheetId="5" r:id="Raa2e784a2c6d4d2e"/>
    <x:sheet xmlns:r="http://schemas.openxmlformats.org/officeDocument/2006/relationships" name="Prompt Bank" sheetId="6" r:id="R869cbff0f7544cbe"/>
    <x:sheet xmlns:r="http://schemas.openxmlformats.org/officeDocument/2006/relationships" name="Lists" sheetId="7" r:id="Raa3a24f1d5144366"/>
    <x:sheet xmlns:r="http://schemas.openxmlformats.org/officeDocument/2006/relationships" name="Practice Track" sheetId="8" r:id="Rc7a6bb7551a74560"/>
    <x:sheet xmlns:r="http://schemas.openxmlformats.org/officeDocument/2006/relationships" name="Loops 25-44" sheetId="9" r:id="R3a5e3f28dc5f413a"/>
    <x:sheet xmlns:r="http://schemas.openxmlformats.org/officeDocument/2006/relationships" name="Loops 45-64" sheetId="10" r:id="Re60b9dd9c0f449ec"/>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yyyy-mm-dd"/>
    <x:numFmt numFmtId="202" formatCode="0.0%"/>
    <x:numFmt numFmtId="203" formatCode="0"/>
  </x:numFmts>
  <x:fonts count="25">
    <x:font>
      <x:sz val="11"/>
      <x:name val="Carlito"/>
    </x:font>
    <x:font>
      <x:b/>
      <x:sz val="11"/>
      <x:color rgb="FFFFFFFF"/>
      <x:name val="Carlito"/>
    </x:font>
    <x:font>
      <x:b/>
      <x:sz val="16"/>
      <x:color rgb="FFFFFFFF"/>
      <x:name val="Carlito"/>
    </x:font>
    <x:font>
      <x:sz val="11"/>
      <x:color rgb="FF7C2D12"/>
      <x:name val="Carlito"/>
    </x:font>
    <x:font>
      <x:b/>
      <x:sz val="18"/>
      <x:color rgb="FFFFFFFF"/>
      <x:name val="Carlito"/>
    </x:font>
    <x:font>
      <x:sz val="11"/>
      <x:color rgb="FF9A3412"/>
      <x:name val="Carlito"/>
    </x:font>
    <x:font>
      <x:sz val="10"/>
      <x:color rgb="FF1F2937"/>
      <x:name val="Carlito"/>
    </x:font>
    <x:font>
      <x:b/>
      <x:sz val="10"/>
      <x:color rgb="FF1F2937"/>
      <x:name val="Carlito"/>
    </x:font>
    <x:font>
      <x:b/>
      <x:sz val="10"/>
      <x:color rgb="FF1E3A8A"/>
      <x:name val="Carlito"/>
    </x:font>
    <x:font>
      <x:b/>
      <x:sz val="20"/>
      <x:color rgb="FFFFFFFF"/>
      <x:name val="Carlito"/>
    </x:font>
    <x:font>
      <x:sz val="11"/>
      <x:color rgb="FF16324F"/>
      <x:name val="Carlito"/>
    </x:font>
    <x:font>
      <x:b/>
      <x:sz val="10"/>
      <x:color rgb="FF455A64"/>
      <x:name val="Carlito"/>
    </x:font>
    <x:font>
      <x:b/>
      <x:sz val="10"/>
      <x:color rgb="FFFFFFFF"/>
      <x:name val="Carlito"/>
    </x:font>
    <x:font>
      <x:sz val="9"/>
      <x:color rgb="FF263238"/>
      <x:name val="Carlito"/>
    </x:font>
    <x:font>
      <x:b/>
      <x:sz val="11"/>
      <x:color rgb="FF16324F"/>
      <x:name val="Carlito"/>
    </x:font>
    <x:font>
      <x:b/>
      <x:sz val="9"/>
      <x:color rgb="FF276A73"/>
      <x:name val="Carlito"/>
    </x:font>
    <x:font>
      <x:b/>
      <x:sz val="9"/>
      <x:color rgb="FF8A4B08"/>
      <x:name val="Carlito"/>
    </x:font>
    <x:font>
      <x:sz val="9"/>
      <x:color rgb="FF6D4C00"/>
      <x:name val="Carlito"/>
    </x:font>
    <x:font>
      <x:b/>
      <x:sz val="9"/>
      <x:color rgb="FF7A1F1F"/>
      <x:name val="Carlito"/>
    </x:font>
    <x:font>
      <x:sz val="8"/>
      <x:color rgb="FF245C8A"/>
      <x:name val="Carlito"/>
    </x:font>
    <x:font>
      <x:b/>
      <x:sz val="10"/>
      <x:color rgb="FF6D4C00"/>
      <x:name val="Carlito"/>
    </x:font>
    <x:font>
      <x:b/>
      <x:sz val="9"/>
      <x:color rgb="FF16324F"/>
      <x:name val="Carlito"/>
    </x:font>
    <x:font>
      <x:b/>
      <x:sz val="9"/>
      <x:color rgb="FF234A60"/>
      <x:name val="Carlito"/>
    </x:font>
    <x:font>
      <x:sz val="9"/>
      <x:color rgb="FF1B5E20"/>
      <x:name val="Carlito"/>
    </x:font>
    <x:font>
      <x:b/>
      <x:sz val="9"/>
      <x:color rgb="FF1B5E20"/>
      <x:name val="Carlito"/>
    </x:font>
  </x:fonts>
  <x:fills count="34">
    <x:fill>
      <x:patternFill patternType="none"/>
    </x:fill>
    <x:fill>
      <x:patternFill patternType="gray125"/>
    </x:fill>
    <x:fill>
      <x:patternFill patternType="solid">
        <x:fgColor rgb="FF1F4E78"/>
      </x:patternFill>
    </x:fill>
    <x:fill>
      <x:patternFill patternType="solid">
        <x:fgColor rgb="FF111827"/>
      </x:patternFill>
    </x:fill>
    <x:fill>
      <x:patternFill patternType="solid">
        <x:fgColor rgb="FFFFF7ED"/>
      </x:patternFill>
    </x:fill>
    <x:fill>
      <x:patternFill patternType="solid">
        <x:fgColor rgb="FF111827"/>
      </x:patternFill>
    </x:fill>
    <x:fill>
      <x:patternFill patternType="solid">
        <x:fgColor rgb="FFFFF4E8"/>
      </x:patternFill>
    </x:fill>
    <x:fill>
      <x:patternFill patternType="solid">
        <x:fgColor rgb="FF245B85"/>
      </x:patternFill>
    </x:fill>
    <x:fill>
      <x:patternFill patternType="solid">
        <x:fgColor rgb="FFD9EEF7"/>
      </x:patternFill>
    </x:fill>
    <x:fill>
      <x:patternFill patternType="solid">
        <x:fgColor rgb="FFFFFFFF"/>
      </x:patternFill>
    </x:fill>
    <x:fill>
      <x:patternFill patternType="solid">
        <x:fgColor rgb="FFD1FAE5"/>
      </x:patternFill>
    </x:fill>
    <x:fill>
      <x:patternFill patternType="solid">
        <x:fgColor rgb="FFFEF3C7"/>
      </x:patternFill>
    </x:fill>
    <x:fill>
      <x:patternFill patternType="solid">
        <x:fgColor rgb="FFFECACA"/>
      </x:patternFill>
    </x:fill>
    <x:fill>
      <x:patternFill patternType="solid">
        <x:fgColor rgb="FFD1FAE5"/>
      </x:patternFill>
    </x:fill>
    <x:fill>
      <x:patternFill patternType="solid">
        <x:fgColor rgb="FFFEF3C7"/>
      </x:patternFill>
    </x:fill>
    <x:fill>
      <x:patternFill patternType="solid">
        <x:fgColor rgb="FFD1FAE5"/>
      </x:patternFill>
    </x:fill>
    <x:fill>
      <x:patternFill patternType="solid">
        <x:fgColor rgb="FFDBEAFE"/>
      </x:patternFill>
    </x:fill>
    <x:fill>
      <x:patternFill patternType="solid">
        <x:fgColor rgb="FFDBEAFE"/>
      </x:patternFill>
    </x:fill>
    <x:fill>
      <x:patternFill patternType="solid">
        <x:fgColor rgb="FF16324F"/>
      </x:patternFill>
    </x:fill>
    <x:fill>
      <x:patternFill patternType="solid">
        <x:fgColor rgb="FFDCEAF3"/>
      </x:patternFill>
    </x:fill>
    <x:fill>
      <x:patternFill patternType="solid">
        <x:fgColor rgb="FFF2F5F7"/>
      </x:patternFill>
    </x:fill>
    <x:fill>
      <x:patternFill patternType="solid">
        <x:fgColor rgb="FF276A73"/>
      </x:patternFill>
    </x:fill>
    <x:fill>
      <x:patternFill patternType="solid">
        <x:fgColor rgb="FFE8F2F1"/>
      </x:patternFill>
    </x:fill>
    <x:fill>
      <x:patternFill patternType="solid">
        <x:fgColor rgb="FFFFF4D6"/>
      </x:patternFill>
    </x:fill>
    <x:fill>
      <x:patternFill patternType="solid">
        <x:fgColor rgb="FF16324F"/>
      </x:patternFill>
    </x:fill>
    <x:fill>
      <x:patternFill patternType="solid">
        <x:fgColor rgb="FFDCEAF3"/>
      </x:patternFill>
    </x:fill>
    <x:fill>
      <x:patternFill patternType="solid">
        <x:fgColor rgb="FFFFF4D6"/>
      </x:patternFill>
    </x:fill>
    <x:fill>
      <x:patternFill patternType="solid">
        <x:fgColor rgb="FF276A73"/>
      </x:patternFill>
    </x:fill>
    <x:fill>
      <x:patternFill patternType="solid">
        <x:fgColor rgb="FFE8F2F1"/>
      </x:patternFill>
    </x:fill>
    <x:fill>
      <x:patternFill patternType="solid">
        <x:fgColor rgb="FFEAF3F8"/>
      </x:patternFill>
    </x:fill>
    <x:fill>
      <x:patternFill patternType="solid">
        <x:fgColor rgb="FFFDECEC"/>
      </x:patternFill>
    </x:fill>
    <x:fill>
      <x:patternFill patternType="solid">
        <x:fgColor rgb="FFE8F5E9"/>
      </x:patternFill>
    </x:fill>
    <x:fill>
      <x:patternFill patternType="solid">
        <x:fgColor rgb="FFD9F2E3"/>
      </x:patternFill>
    </x:fill>
    <x:fill>
      <x:patternFill patternType="solid">
        <x:fgColor rgb="FFFFF4D6"/>
      </x:patternFill>
    </x:fill>
  </x:fills>
  <x:borders count="13">
    <x:border/>
    <x:border/>
    <x:border>
      <x:left style="thin">
        <x:color rgb="FFD1D5DB"/>
      </x:left>
      <x:right style="thin">
        <x:color rgb="FFD1D5DB"/>
      </x:right>
      <x:top style="thin">
        <x:color rgb="FFD1D5DB"/>
      </x:top>
      <x:bottom style="thin">
        <x:color rgb="FFD1D5DB"/>
      </x:bottom>
    </x:border>
    <x:border>
      <x:bottom style="thin">
        <x:color rgb="FFD1D5DB"/>
      </x:bottom>
    </x:border>
    <x:border>
      <x:left style="thin">
        <x:color rgb="FFB0BEC5"/>
      </x:left>
      <x:top style="thin">
        <x:color rgb="FFB0BEC5"/>
      </x:top>
      <x:bottom style="thin">
        <x:color rgb="FFB0BEC5"/>
      </x:bottom>
    </x:border>
    <x:border>
      <x:top style="thin">
        <x:color rgb="FFB0BEC5"/>
      </x:top>
      <x:bottom style="thin">
        <x:color rgb="FFB0BEC5"/>
      </x:bottom>
    </x:border>
    <x:border>
      <x:right style="thin">
        <x:color rgb="FFB0BEC5"/>
      </x:right>
      <x:top style="thin">
        <x:color rgb="FFB0BEC5"/>
      </x:top>
      <x:bottom style="thin">
        <x:color rgb="FFB0BEC5"/>
      </x:bottom>
    </x:border>
    <x:border>
      <x:bottom style="thin">
        <x:color rgb="FFD9E1E5"/>
      </x:bottom>
    </x:border>
    <x:border>
      <x:top style="thin">
        <x:color rgb="FFD9E1E5"/>
      </x:top>
      <x:bottom style="thin">
        <x:color rgb="FFD9E1E5"/>
      </x:bottom>
    </x:border>
    <x:border>
      <x:top style="thin">
        <x:color rgb="FFD9E1E5"/>
      </x:top>
    </x:border>
    <x:border>
      <x:left style="thin">
        <x:color rgb="FFD1B76B"/>
      </x:left>
      <x:top style="thin">
        <x:color rgb="FFD1B76B"/>
      </x:top>
      <x:bottom style="thin">
        <x:color rgb="FFD1B76B"/>
      </x:bottom>
    </x:border>
    <x:border>
      <x:top style="thin">
        <x:color rgb="FFD1B76B"/>
      </x:top>
      <x:bottom style="thin">
        <x:color rgb="FFD1B76B"/>
      </x:bottom>
    </x:border>
    <x:border>
      <x:right style="thin">
        <x:color rgb="FFD1B76B"/>
      </x:right>
      <x:top style="thin">
        <x:color rgb="FFD1B76B"/>
      </x:top>
      <x:bottom style="thin">
        <x:color rgb="FFD1B76B"/>
      </x:bottom>
    </x:border>
  </x:borders>
  <x:cellStyleXfs count="1">
    <x:xf numFmtId="0" fontId="0" fillId="0" borderId="0"/>
  </x:cellStyleXfs>
  <x:cellXfs count="22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20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wrapText="1"/>
    </x:xf>
    <x:xf numFmtId="0" fontId="3" fillId="4" borderId="1" xfId="0" applyNumberFormat="1" applyFont="1" applyFill="1" applyBorder="1" applyAlignment="1">
      <x:alignment vertical="top" wrapText="1"/>
    </x:xf>
    <x:xf numFmtId="200" fontId="0" fillId="0" borderId="0" xfId="0" applyNumberFormat="1" applyFont="1" applyFill="1" applyBorder="1"/>
    <x:xf numFmtId="200" fontId="0" fillId="0" borderId="1" xfId="0" applyNumberFormat="1" applyFont="1" applyFill="1" applyBorder="1"/>
    <x:xf numFmtId="0" fontId="0" fillId="0" borderId="0" xfId="0" applyNumberFormat="1" applyFont="1" applyFill="1" applyBorder="1"/>
    <x:xf numFmtId="201" fontId="0" fillId="0" borderId="0" xfId="0" applyNumberFormat="1" applyFont="1" applyFill="1" applyBorder="1" applyAlignment="1">
      <x:alignment wrapText="1"/>
    </x:xf>
    <x:xf numFmtId="201" fontId="0" fillId="0" borderId="1" xfId="0" applyNumberFormat="1" applyFont="1" applyFill="1" applyBorder="1" applyAlignment="1">
      <x:alignment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top" wrapText="1"/>
    </x:xf>
    <x:xf numFmtId="202" fontId="0" fillId="0" borderId="0" xfId="0" applyNumberFormat="1" applyFont="1" applyFill="1" applyBorder="1"/>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5" fillId="6" borderId="0" xfId="0" applyNumberFormat="1" applyFont="1" applyFill="1" applyBorder="1"/>
    <x:xf numFmtId="0" fontId="5" fillId="6" borderId="0" xfId="0" applyNumberFormat="1" applyFont="1" applyFill="1" applyBorder="1" applyAlignment="1">
      <x:alignment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wrapText="1"/>
    </x:xf>
    <x:xf numFmtId="0" fontId="1" fillId="7" borderId="0" xfId="0" applyNumberFormat="1" applyFont="1" applyFill="1" applyBorder="1" applyAlignment="1">
      <x:alignment wrapText="1"/>
    </x:xf>
    <x:xf numFmtId="0" fontId="1" fillId="7" borderId="2"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0" fillId="8" borderId="0" xfId="0" applyNumberFormat="1" applyFont="1" applyFill="1" applyBorder="1" applyAlignment="1">
      <x:alignment wrapText="1"/>
    </x:xf>
    <x:xf numFmtId="0" fontId="6" fillId="8" borderId="0" xfId="0" applyNumberFormat="1" applyFont="1" applyFill="1" applyBorder="1" applyAlignment="1">
      <x:alignment wrapText="1"/>
    </x:xf>
    <x:xf numFmtId="0" fontId="6" fillId="8" borderId="3" xfId="0" applyNumberFormat="1" applyFont="1" applyFill="1" applyBorder="1" applyAlignment="1">
      <x:alignment wrapText="1"/>
    </x:xf>
    <x:xf numFmtId="0" fontId="6" fillId="8" borderId="3" xfId="0" applyNumberFormat="1" applyFont="1" applyFill="1" applyBorder="1" applyAlignment="1">
      <x:alignment vertical="top" wrapText="1"/>
    </x:xf>
    <x:xf numFmtId="0" fontId="0" fillId="9" borderId="0" xfId="0" applyNumberFormat="1" applyFont="1" applyFill="1" applyBorder="1" applyAlignment="1">
      <x:alignment wrapText="1"/>
    </x:xf>
    <x:xf numFmtId="0" fontId="6" fillId="9" borderId="0" xfId="0" applyNumberFormat="1" applyFont="1" applyFill="1" applyBorder="1" applyAlignment="1">
      <x:alignment wrapText="1"/>
    </x:xf>
    <x:xf numFmtId="0" fontId="6" fillId="9" borderId="3" xfId="0" applyNumberFormat="1" applyFont="1" applyFill="1" applyBorder="1" applyAlignment="1">
      <x:alignment wrapText="1"/>
    </x:xf>
    <x:xf numFmtId="0" fontId="6" fillId="9" borderId="3" xfId="0" applyNumberFormat="1" applyFont="1" applyFill="1" applyBorder="1" applyAlignment="1">
      <x:alignment vertical="top" wrapText="1"/>
    </x:xf>
    <x:xf numFmtId="0" fontId="6" fillId="10" borderId="3" xfId="0" applyNumberFormat="1" applyFont="1" applyFill="1" applyBorder="1" applyAlignment="1">
      <x:alignment vertical="top" wrapText="1"/>
    </x:xf>
    <x:xf numFmtId="0" fontId="6" fillId="11" borderId="3" xfId="0" applyNumberFormat="1" applyFont="1" applyFill="1" applyBorder="1" applyAlignment="1">
      <x:alignment vertical="top" wrapText="1"/>
    </x:xf>
    <x:xf numFmtId="0" fontId="6" fillId="12" borderId="3" xfId="0" applyNumberFormat="1" applyFont="1" applyFill="1" applyBorder="1" applyAlignment="1">
      <x:alignment vertical="top" wrapText="1"/>
    </x:xf>
    <x:xf numFmtId="0" fontId="7" fillId="10" borderId="3" xfId="0" applyNumberFormat="1" applyFont="1" applyFill="1" applyBorder="1" applyAlignment="1">
      <x:alignment vertical="top" wrapText="1"/>
    </x:xf>
    <x:xf numFmtId="0" fontId="7" fillId="11" borderId="3" xfId="0" applyNumberFormat="1" applyFont="1" applyFill="1" applyBorder="1" applyAlignment="1">
      <x:alignment vertical="top" wrapText="1"/>
    </x:xf>
    <x:xf numFmtId="0" fontId="7" fillId="8" borderId="3" xfId="0" applyNumberFormat="1" applyFont="1" applyFill="1" applyBorder="1" applyAlignment="1">
      <x:alignment vertical="top" wrapText="1"/>
    </x:xf>
    <x:xf numFmtId="0" fontId="7" fillId="9" borderId="3" xfId="0" applyNumberFormat="1" applyFont="1" applyFill="1" applyBorder="1" applyAlignment="1">
      <x:alignment vertical="top" wrapText="1"/>
    </x:xf>
    <x:xf numFmtId="0" fontId="7" fillId="12" borderId="3" xfId="0" applyNumberFormat="1" applyFont="1" applyFill="1" applyBorder="1" applyAlignment="1">
      <x:alignment vertical="top" wrapText="1"/>
    </x:xf>
    <x:xf numFmtId="0" fontId="7" fillId="13" borderId="3" xfId="0" applyNumberFormat="1" applyFont="1" applyFill="1" applyBorder="1" applyAlignment="1">
      <x:alignment vertical="top" wrapText="1"/>
    </x:xf>
    <x:xf numFmtId="0" fontId="7" fillId="14" borderId="3"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3" xfId="0" applyNumberFormat="1" applyFont="1" applyFill="1" applyBorder="1" applyAlignment="1">
      <x:alignment horizontal="general" vertical="top" wrapText="1"/>
    </x:xf>
    <x:xf numFmtId="0" fontId="7" fillId="16" borderId="3" xfId="0" applyNumberFormat="1" applyFont="1" applyFill="1" applyBorder="1" applyAlignment="1">
      <x:alignment vertical="top" wrapText="1"/>
    </x:xf>
    <x:xf numFmtId="0" fontId="8" fillId="16" borderId="3" xfId="0" applyNumberFormat="1" applyFont="1" applyFill="1" applyBorder="1" applyAlignment="1">
      <x:alignment vertical="top" wrapText="1"/>
    </x:xf>
    <x:xf numFmtId="0" fontId="8" fillId="16" borderId="3" xfId="0" applyNumberFormat="1" applyFont="1" applyFill="1" applyBorder="1" applyAlignment="1">
      <x:alignment horizontal="general" vertical="top" wrapText="1"/>
    </x:xf>
    <x:xf numFmtId="0" fontId="8" fillId="17" borderId="3" xfId="0" applyNumberFormat="1" applyFont="1" applyFill="1" applyBorder="1" applyAlignment="1">
      <x:alignment horizontal="general" vertical="top" wrapText="1"/>
    </x:xf>
    <x:xf numFmtId="0" fontId="0" fillId="18" borderId="0" xfId="0" applyNumberFormat="1" applyFont="1" applyFill="1" applyBorder="1"/>
    <x:xf numFmtId="0" fontId="9" fillId="18" borderId="0" xfId="0" applyNumberFormat="1" applyFont="1" applyFill="1" applyBorder="1"/>
    <x:xf numFmtId="0" fontId="9" fillId="18" borderId="0" xfId="0" applyNumberFormat="1" applyFont="1" applyFill="1" applyBorder="1" applyAlignment="1">
      <x:alignment horizontal="left"/>
    </x:xf>
    <x:xf numFmtId="0" fontId="9" fillId="18" borderId="0" xfId="0" applyNumberFormat="1" applyFont="1" applyFill="1" applyBorder="1" applyAlignment="1">
      <x:alignment horizontal="left" vertical="center"/>
    </x:xf>
    <x:xf numFmtId="0" fontId="0" fillId="19" borderId="0" xfId="0" applyNumberFormat="1" applyFont="1" applyFill="1" applyBorder="1"/>
    <x:xf numFmtId="0" fontId="10" fillId="19" borderId="0" xfId="0" applyNumberFormat="1" applyFont="1" applyFill="1" applyBorder="1"/>
    <x:xf numFmtId="0" fontId="10" fillId="19" borderId="0" xfId="0" applyNumberFormat="1" applyFont="1" applyFill="1" applyBorder="1" applyAlignment="1">
      <x:alignment wrapText="1"/>
    </x:xf>
    <x:xf numFmtId="0" fontId="10" fillId="19" borderId="0" xfId="0" applyNumberFormat="1" applyFont="1" applyFill="1" applyBorder="1" applyAlignment="1">
      <x:alignment horizontal="left" wrapText="1"/>
    </x:xf>
    <x:xf numFmtId="0" fontId="10" fillId="19" borderId="0" xfId="0" applyNumberFormat="1" applyFont="1" applyFill="1" applyBorder="1" applyAlignment="1">
      <x:alignment horizontal="left" vertical="center" wrapText="1"/>
    </x:xf>
    <x:xf numFmtId="0" fontId="0" fillId="20" borderId="0" xfId="0" applyNumberFormat="1" applyFont="1" applyFill="1" applyBorder="1"/>
    <x:xf numFmtId="0" fontId="11" fillId="20" borderId="0" xfId="0" applyNumberFormat="1" applyFont="1" applyFill="1" applyBorder="1"/>
    <x:xf numFmtId="0" fontId="11" fillId="20" borderId="4" xfId="0" applyNumberFormat="1" applyFont="1" applyFill="1" applyBorder="1"/>
    <x:xf numFmtId="0" fontId="11" fillId="20" borderId="5" xfId="0" applyNumberFormat="1" applyFont="1" applyFill="1" applyBorder="1"/>
    <x:xf numFmtId="0" fontId="11" fillId="20" borderId="6" xfId="0" applyNumberFormat="1" applyFont="1" applyFill="1" applyBorder="1"/>
    <x:xf numFmtId="0" fontId="11" fillId="20" borderId="4" xfId="0" applyNumberFormat="1" applyFont="1" applyFill="1" applyBorder="1" applyAlignment="1">
      <x:alignment wrapText="1"/>
    </x:xf>
    <x:xf numFmtId="0" fontId="11" fillId="20" borderId="5" xfId="0" applyNumberFormat="1" applyFont="1" applyFill="1" applyBorder="1" applyAlignment="1">
      <x:alignment wrapText="1"/>
    </x:xf>
    <x:xf numFmtId="0" fontId="11" fillId="20" borderId="6" xfId="0" applyNumberFormat="1" applyFont="1" applyFill="1" applyBorder="1" applyAlignment="1">
      <x:alignment wrapText="1"/>
    </x:xf>
    <x:xf numFmtId="0" fontId="11" fillId="20" borderId="4" xfId="0" applyNumberFormat="1" applyFont="1" applyFill="1" applyBorder="1" applyAlignment="1">
      <x:alignment horizontal="left" wrapText="1"/>
    </x:xf>
    <x:xf numFmtId="0" fontId="11" fillId="20" borderId="5" xfId="0" applyNumberFormat="1" applyFont="1" applyFill="1" applyBorder="1" applyAlignment="1">
      <x:alignment horizontal="left" wrapText="1"/>
    </x:xf>
    <x:xf numFmtId="0" fontId="11" fillId="20" borderId="6" xfId="0" applyNumberFormat="1" applyFont="1" applyFill="1" applyBorder="1" applyAlignment="1">
      <x:alignment horizontal="left" wrapText="1"/>
    </x:xf>
    <x:xf numFmtId="0" fontId="11" fillId="20" borderId="4" xfId="0" applyNumberFormat="1" applyFont="1" applyFill="1" applyBorder="1" applyAlignment="1">
      <x:alignment horizontal="left" vertical="center" wrapText="1"/>
    </x:xf>
    <x:xf numFmtId="0" fontId="11" fillId="20" borderId="5" xfId="0" applyNumberFormat="1" applyFont="1" applyFill="1" applyBorder="1" applyAlignment="1">
      <x:alignment horizontal="left" vertical="center" wrapText="1"/>
    </x:xf>
    <x:xf numFmtId="0" fontId="11" fillId="20" borderId="6" xfId="0" applyNumberFormat="1" applyFont="1" applyFill="1" applyBorder="1" applyAlignment="1">
      <x:alignment horizontal="left" vertical="center" wrapText="1"/>
    </x:xf>
    <x:xf numFmtId="0" fontId="0" fillId="21" borderId="0" xfId="0" applyNumberFormat="1" applyFont="1" applyFill="1" applyBorder="1"/>
    <x:xf numFmtId="0" fontId="12" fillId="21" borderId="0" xfId="0" applyNumberFormat="1" applyFont="1" applyFill="1" applyBorder="1"/>
    <x:xf numFmtId="0" fontId="12" fillId="21" borderId="0" xfId="0" applyNumberFormat="1" applyFont="1" applyFill="1" applyBorder="1" applyAlignment="1">
      <x:alignment wrapText="1"/>
    </x:xf>
    <x:xf numFmtId="0" fontId="12" fillId="21" borderId="0" xfId="0" applyNumberFormat="1" applyFont="1" applyFill="1" applyBorder="1" applyAlignment="1">
      <x:alignment horizontal="left" wrapText="1"/>
    </x:xf>
    <x:xf numFmtId="0" fontId="12" fillId="21" borderId="0" xfId="0" applyNumberFormat="1" applyFont="1" applyFill="1" applyBorder="1" applyAlignment="1">
      <x:alignment horizontal="left" vertical="center" wrapText="1"/>
    </x:xf>
    <x:xf numFmtId="0" fontId="13" fillId="0" borderId="0" xfId="0" applyNumberFormat="1" applyFont="1" applyFill="1" applyBorder="1"/>
    <x:xf numFmtId="0" fontId="13" fillId="0" borderId="7" xfId="0" applyNumberFormat="1" applyFont="1" applyFill="1" applyBorder="1"/>
    <x:xf numFmtId="0" fontId="13" fillId="0" borderId="8" xfId="0" applyNumberFormat="1" applyFont="1" applyFill="1" applyBorder="1"/>
    <x:xf numFmtId="0" fontId="13" fillId="0" borderId="9" xfId="0" applyNumberFormat="1" applyFont="1" applyFill="1" applyBorder="1"/>
    <x:xf numFmtId="0" fontId="13" fillId="0" borderId="7" xfId="0" applyNumberFormat="1" applyFont="1" applyFill="1" applyBorder="1" applyAlignment="1">
      <x:alignment wrapText="1"/>
    </x:xf>
    <x:xf numFmtId="0" fontId="13" fillId="0" borderId="8" xfId="0" applyNumberFormat="1" applyFont="1" applyFill="1" applyBorder="1" applyAlignment="1">
      <x:alignment wrapText="1"/>
    </x:xf>
    <x:xf numFmtId="0" fontId="13" fillId="0" borderId="9" xfId="0" applyNumberFormat="1" applyFont="1" applyFill="1" applyBorder="1" applyAlignment="1">
      <x:alignment wrapText="1"/>
    </x:xf>
    <x:xf numFmtId="0" fontId="13" fillId="0" borderId="7" xfId="0" applyNumberFormat="1" applyFont="1" applyFill="1" applyBorder="1" applyAlignment="1">
      <x:alignment vertical="top" wrapText="1"/>
    </x:xf>
    <x:xf numFmtId="0" fontId="13" fillId="0" borderId="8" xfId="0" applyNumberFormat="1" applyFont="1" applyFill="1" applyBorder="1" applyAlignment="1">
      <x:alignment vertical="top" wrapText="1"/>
    </x:xf>
    <x:xf numFmtId="0" fontId="13" fillId="0" borderId="9" xfId="0" applyNumberFormat="1" applyFont="1" applyFill="1" applyBorder="1" applyAlignment="1">
      <x:alignment vertical="top" wrapText="1"/>
    </x:xf>
    <x:xf numFmtId="0" fontId="13" fillId="22" borderId="7" xfId="0" applyNumberFormat="1" applyFont="1" applyFill="1" applyBorder="1" applyAlignment="1">
      <x:alignment vertical="top" wrapText="1"/>
    </x:xf>
    <x:xf numFmtId="0" fontId="13" fillId="22" borderId="8" xfId="0" applyNumberFormat="1" applyFont="1" applyFill="1" applyBorder="1" applyAlignment="1">
      <x:alignment vertical="top" wrapText="1"/>
    </x:xf>
    <x:xf numFmtId="0" fontId="13" fillId="22" borderId="9" xfId="0" applyNumberFormat="1" applyFont="1" applyFill="1" applyBorder="1" applyAlignment="1">
      <x:alignment vertical="top" wrapText="1"/>
    </x:xf>
    <x:xf numFmtId="0" fontId="14" fillId="22" borderId="7" xfId="0" applyNumberFormat="1" applyFont="1" applyFill="1" applyBorder="1" applyAlignment="1">
      <x:alignment vertical="top" wrapText="1"/>
    </x:xf>
    <x:xf numFmtId="0" fontId="14" fillId="22" borderId="8" xfId="0" applyNumberFormat="1" applyFont="1" applyFill="1" applyBorder="1" applyAlignment="1">
      <x:alignment vertical="top" wrapText="1"/>
    </x:xf>
    <x:xf numFmtId="0" fontId="14" fillId="22" borderId="9" xfId="0" applyNumberFormat="1" applyFont="1" applyFill="1" applyBorder="1" applyAlignment="1">
      <x:alignment vertical="top" wrapText="1"/>
    </x:xf>
    <x:xf numFmtId="203" fontId="14" fillId="22" borderId="7" xfId="0" applyNumberFormat="1" applyFont="1" applyFill="1" applyBorder="1" applyAlignment="1">
      <x:alignment vertical="top" wrapText="1"/>
    </x:xf>
    <x:xf numFmtId="203" fontId="14" fillId="22" borderId="8" xfId="0" applyNumberFormat="1" applyFont="1" applyFill="1" applyBorder="1" applyAlignment="1">
      <x:alignment vertical="top" wrapText="1"/>
    </x:xf>
    <x:xf numFmtId="203" fontId="14" fillId="22" borderId="9" xfId="0" applyNumberFormat="1" applyFont="1" applyFill="1" applyBorder="1" applyAlignment="1">
      <x:alignment vertical="top" wrapText="1"/>
    </x:xf>
    <x:xf numFmtId="203" fontId="14" fillId="22" borderId="7" xfId="0" applyNumberFormat="1" applyFont="1" applyFill="1" applyBorder="1" applyAlignment="1">
      <x:alignment horizontal="center" vertical="top" wrapText="1"/>
    </x:xf>
    <x:xf numFmtId="203" fontId="14" fillId="22" borderId="8" xfId="0" applyNumberFormat="1" applyFont="1" applyFill="1" applyBorder="1" applyAlignment="1">
      <x:alignment horizontal="center" vertical="top" wrapText="1"/>
    </x:xf>
    <x:xf numFmtId="203" fontId="14" fillId="22" borderId="9" xfId="0" applyNumberFormat="1" applyFont="1" applyFill="1" applyBorder="1" applyAlignment="1">
      <x:alignment horizontal="center" vertical="top" wrapText="1"/>
    </x:xf>
    <x:xf numFmtId="0" fontId="15" fillId="0" borderId="7" xfId="0" applyNumberFormat="1" applyFont="1" applyFill="1" applyBorder="1" applyAlignment="1">
      <x:alignment vertical="top" wrapText="1"/>
    </x:xf>
    <x:xf numFmtId="0" fontId="15" fillId="0" borderId="8" xfId="0" applyNumberFormat="1" applyFont="1" applyFill="1" applyBorder="1" applyAlignment="1">
      <x:alignment vertical="top" wrapText="1"/>
    </x:xf>
    <x:xf numFmtId="0" fontId="15" fillId="0" borderId="9" xfId="0" applyNumberFormat="1" applyFont="1" applyFill="1" applyBorder="1" applyAlignment="1">
      <x:alignment vertical="top" wrapText="1"/>
    </x:xf>
    <x:xf numFmtId="0" fontId="16" fillId="0" borderId="7" xfId="0" applyNumberFormat="1" applyFont="1" applyFill="1" applyBorder="1" applyAlignment="1">
      <x:alignment vertical="top" wrapText="1"/>
    </x:xf>
    <x:xf numFmtId="0" fontId="16" fillId="0" borderId="8" xfId="0" applyNumberFormat="1" applyFont="1" applyFill="1" applyBorder="1" applyAlignment="1">
      <x:alignment vertical="top" wrapText="1"/>
    </x:xf>
    <x:xf numFmtId="0" fontId="16" fillId="0" borderId="9" xfId="0" applyNumberFormat="1" applyFont="1" applyFill="1" applyBorder="1" applyAlignment="1">
      <x:alignment vertical="top" wrapText="1"/>
    </x:xf>
    <x:xf numFmtId="0" fontId="16" fillId="0" borderId="7" xfId="0" applyNumberFormat="1" applyFont="1" applyFill="1" applyBorder="1" applyAlignment="1">
      <x:alignment horizontal="center" vertical="top" wrapText="1"/>
    </x:xf>
    <x:xf numFmtId="0" fontId="16" fillId="0" borderId="8" xfId="0" applyNumberFormat="1" applyFont="1" applyFill="1" applyBorder="1" applyAlignment="1">
      <x:alignment horizontal="center" vertical="top" wrapText="1"/>
    </x:xf>
    <x:xf numFmtId="0" fontId="16" fillId="0" borderId="9" xfId="0" applyNumberFormat="1" applyFont="1" applyFill="1" applyBorder="1" applyAlignment="1">
      <x:alignment horizontal="center" vertical="top" wrapText="1"/>
    </x:xf>
    <x:xf numFmtId="0" fontId="13" fillId="23" borderId="7" xfId="0" applyNumberFormat="1" applyFont="1" applyFill="1" applyBorder="1" applyAlignment="1">
      <x:alignment vertical="top" wrapText="1"/>
    </x:xf>
    <x:xf numFmtId="0" fontId="13" fillId="23" borderId="8" xfId="0" applyNumberFormat="1" applyFont="1" applyFill="1" applyBorder="1" applyAlignment="1">
      <x:alignment vertical="top" wrapText="1"/>
    </x:xf>
    <x:xf numFmtId="0" fontId="13" fillId="23" borderId="9" xfId="0" applyNumberFormat="1" applyFont="1" applyFill="1" applyBorder="1" applyAlignment="1">
      <x:alignment vertical="top" wrapText="1"/>
    </x:xf>
    <x:xf numFmtId="0" fontId="17" fillId="23" borderId="7" xfId="0" applyNumberFormat="1" applyFont="1" applyFill="1" applyBorder="1" applyAlignment="1">
      <x:alignment vertical="top" wrapText="1"/>
    </x:xf>
    <x:xf numFmtId="0" fontId="17" fillId="23" borderId="8" xfId="0" applyNumberFormat="1" applyFont="1" applyFill="1" applyBorder="1" applyAlignment="1">
      <x:alignment vertical="top" wrapText="1"/>
    </x:xf>
    <x:xf numFmtId="0" fontId="17" fillId="23" borderId="9" xfId="0" applyNumberFormat="1" applyFont="1" applyFill="1" applyBorder="1" applyAlignment="1">
      <x:alignment vertical="top" wrapText="1"/>
    </x:xf>
    <x:xf numFmtId="0" fontId="18" fillId="0" borderId="7" xfId="0" applyNumberFormat="1" applyFont="1" applyFill="1" applyBorder="1" applyAlignment="1">
      <x:alignment vertical="top" wrapText="1"/>
    </x:xf>
    <x:xf numFmtId="0" fontId="18" fillId="0" borderId="8" xfId="0" applyNumberFormat="1" applyFont="1" applyFill="1" applyBorder="1" applyAlignment="1">
      <x:alignment vertical="top" wrapText="1"/>
    </x:xf>
    <x:xf numFmtId="0" fontId="18" fillId="0" borderId="9" xfId="0" applyNumberFormat="1" applyFont="1" applyFill="1" applyBorder="1" applyAlignment="1">
      <x:alignment vertical="top" wrapText="1"/>
    </x:xf>
    <x:xf numFmtId="0" fontId="18" fillId="0" borderId="7" xfId="0" applyNumberFormat="1" applyFont="1" applyFill="1" applyBorder="1" applyAlignment="1">
      <x:alignment horizontal="center" vertical="top" wrapText="1"/>
    </x:xf>
    <x:xf numFmtId="0" fontId="18" fillId="0" borderId="8" xfId="0" applyNumberFormat="1" applyFont="1" applyFill="1" applyBorder="1" applyAlignment="1">
      <x:alignment horizontal="center" vertical="top" wrapText="1"/>
    </x:xf>
    <x:xf numFmtId="0" fontId="18" fillId="0" borderId="9" xfId="0" applyNumberFormat="1" applyFont="1" applyFill="1" applyBorder="1" applyAlignment="1">
      <x:alignment horizontal="center" vertical="top" wrapText="1"/>
    </x:xf>
    <x:xf numFmtId="0" fontId="19" fillId="0" borderId="7" xfId="0" applyNumberFormat="1" applyFont="1" applyFill="1" applyBorder="1" applyAlignment="1">
      <x:alignment vertical="top" wrapText="1"/>
    </x:xf>
    <x:xf numFmtId="0" fontId="19" fillId="0" borderId="8" xfId="0" applyNumberFormat="1" applyFont="1" applyFill="1" applyBorder="1" applyAlignment="1">
      <x:alignment vertical="top" wrapText="1"/>
    </x:xf>
    <x:xf numFmtId="0" fontId="19" fillId="0" borderId="9" xfId="0" applyNumberFormat="1" applyFont="1" applyFill="1" applyBorder="1" applyAlignment="1">
      <x:alignment vertical="top" wrapText="1"/>
    </x:xf>
    <x:xf numFmtId="201" fontId="0" fillId="0" borderId="0" xfId="0" applyNumberFormat="1" applyFont="1" applyFill="1" applyBorder="1" applyAlignment="1">
      <x:alignment vertical="center" wrapText="1"/>
    </x:xf>
    <x:xf numFmtId="0" fontId="0" fillId="24" borderId="0" xfId="0" applyNumberFormat="1" applyFont="1" applyFill="1" applyBorder="1"/>
    <x:xf numFmtId="0" fontId="9" fillId="24" borderId="0" xfId="0" applyNumberFormat="1" applyFont="1" applyFill="1" applyBorder="1"/>
    <x:xf numFmtId="0" fontId="9" fillId="24" borderId="0" xfId="0" applyNumberFormat="1" applyFont="1" applyFill="1" applyBorder="1" applyAlignment="1">
      <x:alignment horizontal="left"/>
    </x:xf>
    <x:xf numFmtId="0" fontId="9" fillId="24" borderId="0" xfId="0" applyNumberFormat="1" applyFont="1" applyFill="1" applyBorder="1" applyAlignment="1">
      <x:alignment horizontal="left" vertical="center"/>
    </x:xf>
    <x:xf numFmtId="0" fontId="0" fillId="25" borderId="0" xfId="0" applyNumberFormat="1" applyFont="1" applyFill="1" applyBorder="1"/>
    <x:xf numFmtId="0" fontId="10" fillId="25" borderId="0" xfId="0" applyNumberFormat="1" applyFont="1" applyFill="1" applyBorder="1"/>
    <x:xf numFmtId="0" fontId="10" fillId="25" borderId="0" xfId="0" applyNumberFormat="1" applyFont="1" applyFill="1" applyBorder="1" applyAlignment="1">
      <x:alignment wrapText="1"/>
    </x:xf>
    <x:xf numFmtId="0" fontId="10" fillId="25" borderId="0" xfId="0" applyNumberFormat="1" applyFont="1" applyFill="1" applyBorder="1" applyAlignment="1">
      <x:alignment horizontal="left" wrapText="1"/>
    </x:xf>
    <x:xf numFmtId="0" fontId="10" fillId="25" borderId="0" xfId="0" applyNumberFormat="1" applyFont="1" applyFill="1" applyBorder="1" applyAlignment="1">
      <x:alignment horizontal="left" vertical="center" wrapText="1"/>
    </x:xf>
    <x:xf numFmtId="0" fontId="0" fillId="26" borderId="0" xfId="0" applyNumberFormat="1" applyFont="1" applyFill="1" applyBorder="1"/>
    <x:xf numFmtId="0" fontId="20" fillId="26" borderId="0" xfId="0" applyNumberFormat="1" applyFont="1" applyFill="1" applyBorder="1"/>
    <x:xf numFmtId="0" fontId="20" fillId="26" borderId="10" xfId="0" applyNumberFormat="1" applyFont="1" applyFill="1" applyBorder="1"/>
    <x:xf numFmtId="0" fontId="20" fillId="26" borderId="11" xfId="0" applyNumberFormat="1" applyFont="1" applyFill="1" applyBorder="1"/>
    <x:xf numFmtId="0" fontId="20" fillId="26" borderId="12" xfId="0" applyNumberFormat="1" applyFont="1" applyFill="1" applyBorder="1"/>
    <x:xf numFmtId="0" fontId="20" fillId="26" borderId="10" xfId="0" applyNumberFormat="1" applyFont="1" applyFill="1" applyBorder="1" applyAlignment="1">
      <x:alignment wrapText="1"/>
    </x:xf>
    <x:xf numFmtId="0" fontId="20" fillId="26" borderId="11" xfId="0" applyNumberFormat="1" applyFont="1" applyFill="1" applyBorder="1" applyAlignment="1">
      <x:alignment wrapText="1"/>
    </x:xf>
    <x:xf numFmtId="0" fontId="20" fillId="26" borderId="12" xfId="0" applyNumberFormat="1" applyFont="1" applyFill="1" applyBorder="1" applyAlignment="1">
      <x:alignment wrapText="1"/>
    </x:xf>
    <x:xf numFmtId="0" fontId="20" fillId="26" borderId="10" xfId="0" applyNumberFormat="1" applyFont="1" applyFill="1" applyBorder="1" applyAlignment="1">
      <x:alignment horizontal="left" wrapText="1"/>
    </x:xf>
    <x:xf numFmtId="0" fontId="20" fillId="26" borderId="11" xfId="0" applyNumberFormat="1" applyFont="1" applyFill="1" applyBorder="1" applyAlignment="1">
      <x:alignment horizontal="left" wrapText="1"/>
    </x:xf>
    <x:xf numFmtId="0" fontId="20" fillId="26" borderId="12" xfId="0" applyNumberFormat="1" applyFont="1" applyFill="1" applyBorder="1" applyAlignment="1">
      <x:alignment horizontal="left" wrapText="1"/>
    </x:xf>
    <x:xf numFmtId="0" fontId="20" fillId="26" borderId="10" xfId="0" applyNumberFormat="1" applyFont="1" applyFill="1" applyBorder="1" applyAlignment="1">
      <x:alignment horizontal="left" vertical="center" wrapText="1"/>
    </x:xf>
    <x:xf numFmtId="0" fontId="20" fillId="26" borderId="11" xfId="0" applyNumberFormat="1" applyFont="1" applyFill="1" applyBorder="1" applyAlignment="1">
      <x:alignment horizontal="left" vertical="center" wrapText="1"/>
    </x:xf>
    <x:xf numFmtId="0" fontId="20" fillId="26" borderId="12" xfId="0" applyNumberFormat="1" applyFont="1" applyFill="1" applyBorder="1" applyAlignment="1">
      <x:alignment horizontal="left" vertical="center" wrapText="1"/>
    </x:xf>
    <x:xf numFmtId="0" fontId="0" fillId="27" borderId="0" xfId="0" applyNumberFormat="1" applyFont="1" applyFill="1" applyBorder="1"/>
    <x:xf numFmtId="0" fontId="12" fillId="27" borderId="0" xfId="0" applyNumberFormat="1" applyFont="1" applyFill="1" applyBorder="1"/>
    <x:xf numFmtId="0" fontId="12" fillId="27" borderId="0" xfId="0" applyNumberFormat="1" applyFont="1" applyFill="1" applyBorder="1" applyAlignment="1">
      <x:alignment wrapText="1"/>
    </x:xf>
    <x:xf numFmtId="0" fontId="12" fillId="27" borderId="0" xfId="0" applyNumberFormat="1" applyFont="1" applyFill="1" applyBorder="1" applyAlignment="1">
      <x:alignment horizontal="left" wrapText="1"/>
    </x:xf>
    <x:xf numFmtId="0" fontId="12" fillId="27" borderId="0" xfId="0" applyNumberFormat="1" applyFont="1" applyFill="1" applyBorder="1" applyAlignment="1">
      <x:alignment horizontal="left" vertical="center" wrapText="1"/>
    </x:xf>
    <x:xf numFmtId="0" fontId="13" fillId="28" borderId="7" xfId="0" applyNumberFormat="1" applyFont="1" applyFill="1" applyBorder="1" applyAlignment="1">
      <x:alignment vertical="top" wrapText="1"/>
    </x:xf>
    <x:xf numFmtId="0" fontId="13" fillId="28" borderId="8" xfId="0" applyNumberFormat="1" applyFont="1" applyFill="1" applyBorder="1" applyAlignment="1">
      <x:alignment vertical="top" wrapText="1"/>
    </x:xf>
    <x:xf numFmtId="0" fontId="13" fillId="28" borderId="9" xfId="0" applyNumberFormat="1" applyFont="1" applyFill="1" applyBorder="1" applyAlignment="1">
      <x:alignment vertical="top" wrapText="1"/>
    </x:xf>
    <x:xf numFmtId="0" fontId="14" fillId="28" borderId="7" xfId="0" applyNumberFormat="1" applyFont="1" applyFill="1" applyBorder="1" applyAlignment="1">
      <x:alignment vertical="top" wrapText="1"/>
    </x:xf>
    <x:xf numFmtId="0" fontId="14" fillId="28" borderId="8" xfId="0" applyNumberFormat="1" applyFont="1" applyFill="1" applyBorder="1" applyAlignment="1">
      <x:alignment vertical="top" wrapText="1"/>
    </x:xf>
    <x:xf numFmtId="0" fontId="14" fillId="28" borderId="9" xfId="0" applyNumberFormat="1" applyFont="1" applyFill="1" applyBorder="1" applyAlignment="1">
      <x:alignment vertical="top" wrapText="1"/>
    </x:xf>
    <x:xf numFmtId="203" fontId="14" fillId="28" borderId="7" xfId="0" applyNumberFormat="1" applyFont="1" applyFill="1" applyBorder="1" applyAlignment="1">
      <x:alignment vertical="top" wrapText="1"/>
    </x:xf>
    <x:xf numFmtId="203" fontId="14" fillId="28" borderId="8" xfId="0" applyNumberFormat="1" applyFont="1" applyFill="1" applyBorder="1" applyAlignment="1">
      <x:alignment vertical="top" wrapText="1"/>
    </x:xf>
    <x:xf numFmtId="203" fontId="14" fillId="28" borderId="9" xfId="0" applyNumberFormat="1" applyFont="1" applyFill="1" applyBorder="1" applyAlignment="1">
      <x:alignment vertical="top" wrapText="1"/>
    </x:xf>
    <x:xf numFmtId="203" fontId="14" fillId="28" borderId="7" xfId="0" applyNumberFormat="1" applyFont="1" applyFill="1" applyBorder="1" applyAlignment="1">
      <x:alignment horizontal="center" vertical="top" wrapText="1"/>
    </x:xf>
    <x:xf numFmtId="203" fontId="14" fillId="28" borderId="8" xfId="0" applyNumberFormat="1" applyFont="1" applyFill="1" applyBorder="1" applyAlignment="1">
      <x:alignment horizontal="center" vertical="top" wrapText="1"/>
    </x:xf>
    <x:xf numFmtId="203" fontId="14" fillId="28" borderId="9" xfId="0" applyNumberFormat="1" applyFont="1" applyFill="1" applyBorder="1" applyAlignment="1">
      <x:alignment horizontal="center" vertical="top" wrapText="1"/>
    </x:xf>
    <x:xf numFmtId="0" fontId="21" fillId="0" borderId="7" xfId="0" applyNumberFormat="1" applyFont="1" applyFill="1" applyBorder="1" applyAlignment="1">
      <x:alignment vertical="top" wrapText="1"/>
    </x:xf>
    <x:xf numFmtId="0" fontId="21" fillId="0" borderId="8" xfId="0" applyNumberFormat="1" applyFont="1" applyFill="1" applyBorder="1" applyAlignment="1">
      <x:alignment vertical="top" wrapText="1"/>
    </x:xf>
    <x:xf numFmtId="0" fontId="21" fillId="0" borderId="9" xfId="0" applyNumberFormat="1" applyFont="1" applyFill="1" applyBorder="1" applyAlignment="1">
      <x:alignment vertical="top" wrapText="1"/>
    </x:xf>
    <x:xf numFmtId="0" fontId="13" fillId="29" borderId="7" xfId="0" applyNumberFormat="1" applyFont="1" applyFill="1" applyBorder="1" applyAlignment="1">
      <x:alignment vertical="top" wrapText="1"/>
    </x:xf>
    <x:xf numFmtId="0" fontId="13" fillId="29" borderId="8" xfId="0" applyNumberFormat="1" applyFont="1" applyFill="1" applyBorder="1" applyAlignment="1">
      <x:alignment vertical="top" wrapText="1"/>
    </x:xf>
    <x:xf numFmtId="0" fontId="13" fillId="29" borderId="9" xfId="0" applyNumberFormat="1" applyFont="1" applyFill="1" applyBorder="1" applyAlignment="1">
      <x:alignment vertical="top" wrapText="1"/>
    </x:xf>
    <x:xf numFmtId="0" fontId="22" fillId="29" borderId="7" xfId="0" applyNumberFormat="1" applyFont="1" applyFill="1" applyBorder="1" applyAlignment="1">
      <x:alignment vertical="top" wrapText="1"/>
    </x:xf>
    <x:xf numFmtId="0" fontId="22" fillId="29" borderId="8" xfId="0" applyNumberFormat="1" applyFont="1" applyFill="1" applyBorder="1" applyAlignment="1">
      <x:alignment vertical="top" wrapText="1"/>
    </x:xf>
    <x:xf numFmtId="0" fontId="22" fillId="29" borderId="9" xfId="0" applyNumberFormat="1" applyFont="1" applyFill="1" applyBorder="1" applyAlignment="1">
      <x:alignment vertical="top" wrapText="1"/>
    </x:xf>
    <x:xf numFmtId="0" fontId="13" fillId="26" borderId="7" xfId="0" applyNumberFormat="1" applyFont="1" applyFill="1" applyBorder="1" applyAlignment="1">
      <x:alignment vertical="top" wrapText="1"/>
    </x:xf>
    <x:xf numFmtId="0" fontId="13" fillId="26" borderId="8" xfId="0" applyNumberFormat="1" applyFont="1" applyFill="1" applyBorder="1" applyAlignment="1">
      <x:alignment vertical="top" wrapText="1"/>
    </x:xf>
    <x:xf numFmtId="0" fontId="13" fillId="26" borderId="9" xfId="0" applyNumberFormat="1" applyFont="1" applyFill="1" applyBorder="1" applyAlignment="1">
      <x:alignment vertical="top" wrapText="1"/>
    </x:xf>
    <x:xf numFmtId="0" fontId="17" fillId="26" borderId="7" xfId="0" applyNumberFormat="1" applyFont="1" applyFill="1" applyBorder="1" applyAlignment="1">
      <x:alignment vertical="top" wrapText="1"/>
    </x:xf>
    <x:xf numFmtId="0" fontId="17" fillId="26" borderId="8" xfId="0" applyNumberFormat="1" applyFont="1" applyFill="1" applyBorder="1" applyAlignment="1">
      <x:alignment vertical="top" wrapText="1"/>
    </x:xf>
    <x:xf numFmtId="0" fontId="17" fillId="26" borderId="9" xfId="0" applyNumberFormat="1" applyFont="1" applyFill="1" applyBorder="1" applyAlignment="1">
      <x:alignment vertical="top" wrapText="1"/>
    </x:xf>
    <x:xf numFmtId="0" fontId="13" fillId="30" borderId="7" xfId="0" applyNumberFormat="1" applyFont="1" applyFill="1" applyBorder="1" applyAlignment="1">
      <x:alignment vertical="top" wrapText="1"/>
    </x:xf>
    <x:xf numFmtId="0" fontId="13" fillId="30" borderId="8" xfId="0" applyNumberFormat="1" applyFont="1" applyFill="1" applyBorder="1" applyAlignment="1">
      <x:alignment vertical="top" wrapText="1"/>
    </x:xf>
    <x:xf numFmtId="0" fontId="13" fillId="30" borderId="9" xfId="0" applyNumberFormat="1" applyFont="1" applyFill="1" applyBorder="1" applyAlignment="1">
      <x:alignment vertical="top" wrapText="1"/>
    </x:xf>
    <x:xf numFmtId="0" fontId="18" fillId="30" borderId="7" xfId="0" applyNumberFormat="1" applyFont="1" applyFill="1" applyBorder="1" applyAlignment="1">
      <x:alignment vertical="top" wrapText="1"/>
    </x:xf>
    <x:xf numFmtId="0" fontId="18" fillId="30" borderId="8" xfId="0" applyNumberFormat="1" applyFont="1" applyFill="1" applyBorder="1" applyAlignment="1">
      <x:alignment vertical="top" wrapText="1"/>
    </x:xf>
    <x:xf numFmtId="0" fontId="18" fillId="30" borderId="9" xfId="0" applyNumberFormat="1" applyFont="1" applyFill="1" applyBorder="1" applyAlignment="1">
      <x:alignment vertical="top" wrapText="1"/>
    </x:xf>
    <x:xf numFmtId="0" fontId="18" fillId="30" borderId="7" xfId="0" applyNumberFormat="1" applyFont="1" applyFill="1" applyBorder="1" applyAlignment="1">
      <x:alignment horizontal="center" vertical="top" wrapText="1"/>
    </x:xf>
    <x:xf numFmtId="0" fontId="18" fillId="30" borderId="8" xfId="0" applyNumberFormat="1" applyFont="1" applyFill="1" applyBorder="1" applyAlignment="1">
      <x:alignment horizontal="center" vertical="top" wrapText="1"/>
    </x:xf>
    <x:xf numFmtId="0" fontId="18" fillId="30" borderId="9" xfId="0" applyNumberFormat="1" applyFont="1" applyFill="1" applyBorder="1" applyAlignment="1">
      <x:alignment horizontal="center" vertical="top" wrapText="1"/>
    </x:xf>
    <x:xf numFmtId="0" fontId="17" fillId="31" borderId="7" xfId="0" applyNumberFormat="1" applyFont="1" applyFill="1" applyBorder="1" applyAlignment="1">
      <x:alignment vertical="top" wrapText="1"/>
    </x:xf>
    <x:xf numFmtId="0" fontId="23" fillId="31" borderId="7" xfId="0" applyNumberFormat="1" applyFont="1" applyFill="1" applyBorder="1" applyAlignment="1">
      <x:alignment vertical="top" wrapText="1"/>
    </x:xf>
    <x:xf numFmtId="0" fontId="18" fillId="32" borderId="7" xfId="0" applyNumberFormat="1" applyFont="1" applyFill="1" applyBorder="1" applyAlignment="1">
      <x:alignment horizontal="center" vertical="top" wrapText="1"/>
    </x:xf>
    <x:xf numFmtId="0" fontId="24" fillId="32" borderId="7" xfId="0" applyNumberFormat="1" applyFont="1" applyFill="1" applyBorder="1" applyAlignment="1">
      <x:alignment horizontal="center" vertical="top" wrapText="1"/>
    </x:xf>
    <x:xf numFmtId="0" fontId="18" fillId="33" borderId="8" xfId="0" applyNumberFormat="1" applyFont="1" applyFill="1" applyBorder="1" applyAlignment="1">
      <x:alignment horizontal="center" vertical="top" wrapText="1"/>
    </x:xf>
    <x:xf numFmtId="0" fontId="16" fillId="33" borderId="8" xfId="0" applyNumberFormat="1" applyFont="1" applyFill="1" applyBorder="1" applyAlignment="1">
      <x:alignment horizontal="center" vertical="top" wrapText="1"/>
    </x:xf>
  </x:cellXfs>
  <x:cellStyles count="1">
    <x:cellStyle name="Normal" xfId="0"/>
  </x:cellStyles>
  <x:dxfs count="8">
    <x:dxf>
      <x:font>
        <x:b/>
        <x:color rgb="FF7F1D1D"/>
      </x:font>
      <x:fill>
        <x:patternFill>
          <x:bgColor rgb="FFFECACA"/>
        </x:patternFill>
      </x:fill>
    </x:dxf>
    <x:dxf>
      <x:font>
        <x:b/>
        <x:color rgb="FF14532D"/>
      </x:font>
      <x:fill>
        <x:patternFill>
          <x:bgColor rgb="FFDCFCE7"/>
        </x:patternFill>
      </x:fill>
    </x:dxf>
    <x:dxf>
      <x:font>
        <x:b/>
        <x:color rgb="FF1E3A8A"/>
      </x:font>
      <x:fill>
        <x:patternFill>
          <x:bgColor rgb="FFDBEAFE"/>
        </x:patternFill>
      </x:fill>
    </x:dxf>
    <x:dxf>
      <x:font>
        <x:b/>
        <x:color rgb="FF78350F"/>
      </x:font>
      <x:fill>
        <x:patternFill>
          <x:bgColor rgb="FFFEF3C7"/>
        </x:patternFill>
      </x:fill>
    </x:dxf>
    <x:dxf>
      <x:font>
        <x:b/>
        <x:color rgb="FF1B5E20"/>
      </x:font>
      <x:fill>
        <x:patternFill>
          <x:bgColor rgb="FFDDEFD8"/>
        </x:patternFill>
      </x:fill>
    </x:dxf>
    <x:dxf>
      <x:font>
        <x:b/>
        <x:color rgb="FF8A4B08"/>
      </x:font>
      <x:fill>
        <x:patternFill>
          <x:bgColor rgb="FFFCE8D5"/>
        </x:patternFill>
      </x:fill>
    </x:dxf>
    <x:dxf>
      <x:font>
        <x:b/>
        <x:color rgb="FF8B1E1E"/>
      </x:font>
      <x:fill>
        <x:patternFill>
          <x:bgColor rgb="FFF4D7D7"/>
        </x:patternFill>
      </x:fill>
    </x:dxf>
    <x:dxf>
      <x:font>
        <x:b/>
        <x:color rgb="FF455A64"/>
      </x:font>
      <x:fill>
        <x:patternFill>
          <x:bgColor rgb="FFECEFF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d8172eb23ff4199" /><Relationship Type="http://schemas.openxmlformats.org/officeDocument/2006/relationships/theme" Target="/xl/theme/theme1.xml" Id="R3b3f7814eeba49ea" /><Relationship Type="http://schemas.openxmlformats.org/officeDocument/2006/relationships/sharedStrings" Target="/xl/sharedStrings.xml" Id="Radcb2c360ae049ba" /><Relationship Type="http://schemas.openxmlformats.org/officeDocument/2006/relationships/worksheet" Target="/xl/worksheets/sheet1.xml" Id="Re24812e7e34d498b" /><Relationship Type="http://schemas.openxmlformats.org/officeDocument/2006/relationships/worksheet" Target="/xl/worksheets/sheet2.xml" Id="Rab1d8239a2694ca5" /><Relationship Type="http://schemas.openxmlformats.org/officeDocument/2006/relationships/worksheet" Target="/xl/worksheets/sheet3.xml" Id="R9e1af908775b48fd" /><Relationship Type="http://schemas.openxmlformats.org/officeDocument/2006/relationships/worksheet" Target="/xl/worksheets/sheet4.xml" Id="Re3c833f788044b94" /><Relationship Type="http://schemas.openxmlformats.org/officeDocument/2006/relationships/worksheet" Target="/xl/worksheets/sheet5.xml" Id="Raa2e784a2c6d4d2e" /><Relationship Type="http://schemas.openxmlformats.org/officeDocument/2006/relationships/worksheet" Target="/xl/worksheets/sheet6.xml" Id="R869cbff0f7544cbe" /><Relationship Type="http://schemas.openxmlformats.org/officeDocument/2006/relationships/worksheet" Target="/xl/worksheets/sheet7.xml" Id="Raa3a24f1d5144366" /><Relationship Type="http://schemas.openxmlformats.org/officeDocument/2006/relationships/worksheet" Target="/xl/worksheets/sheet8.xml" Id="Rc7a6bb7551a74560" /><Relationship Type="http://schemas.openxmlformats.org/officeDocument/2006/relationships/worksheet" Target="/xl/worksheets/sheet9.xml" Id="R3a5e3f28dc5f413a" /><Relationship Type="http://schemas.openxmlformats.org/officeDocument/2006/relationships/worksheet" Target="/xl/worksheets/sheet10.xml" Id="Re60b9dd9c0f449ec" /></Relationships>
</file>

<file path=xl/drawings/_rels/drawing1.xml.rels>&#65279;<?xml version="1.0" encoding="utf-8"?><Relationships xmlns="http://schemas.openxmlformats.org/package/2006/relationships"><Relationship Type="http://schemas.openxmlformats.org/officeDocument/2006/relationships/chart" Target="/xl/drawings/charts/chart1.xml" Id="R50b469a4f588491b"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Original 20 Loops by Phase</a:t>
            </a:r>
          </a:p>
        </c:rich>
      </c:tx>
    </c:title>
    <c:autoTitleDeleted val="0"/>
    <c:plotArea>
      <c:barChart>
        <c:barDir val="col"/>
        <c:varyColors val="0"/>
        <c:ser>
          <c:idx val="0"/>
          <c:order val="0"/>
          <c:tx>
            <c:v>Loops</c:v>
          </c:tx>
          <c:dLbls>
            <c:showLegendKey val="0"/>
            <c:showVal val="0"/>
            <c:showCatName val="0"/>
            <c:showSerName val="0"/>
            <c:showPercent val="0"/>
            <c:showBubbleSize val="0"/>
            <c:showLeaderLines val="0"/>
          </c:dLbls>
          <c:cat>
            <c:strRef>
              <c:f>'Dashboard'!$A$13:$A$18</c:f>
              <c:strCache>
                <c:ptCount val="0"/>
              </c:strCache>
            </c:strRef>
          </c:cat>
          <c:val>
            <c:numRef>
              <c:f>'Dashboard'!$B$13:$B$18</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20</xdr:row>
      <xdr:rowOff>0</xdr:rowOff>
    </xdr:from>
    <xdr:to>
      <xdr:col>8</xdr:col>
      <xdr:colOff>0</xdr:colOff>
      <xdr:row>36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0b469a4f588491b"/>
        </a:graphicData>
      </a:graphic>
    </xdr:graphicFrame>
    <xdr:clientData/>
  </xdr:twoCellAnchor>
</xdr:wsDr>
</file>

<file path=xl/tables/table1.xml><?xml version="1.0" encoding="utf-8"?>
<x:table xmlns:x="http://schemas.openxmlformats.org/spreadsheetml/2006/main" id="1" name="LoopTrackerTable" displayName="LoopTrackerTable" ref="A1:T21" headerRowCount="1">
  <x:tableColumns count="20">
    <x:tableColumn id="1" name="Loop ID"/>
    <x:tableColumn id="2" name="Phase"/>
    <x:tableColumn id="3" name="Loop Name"/>
    <x:tableColumn id="4" name="Core Question"/>
    <x:tableColumn id="5" name="Build Deliverable"/>
    <x:tableColumn id="6" name="Research Deliverable"/>
    <x:tableColumn id="7" name="Data Scope"/>
    <x:tableColumn id="8" name="Method / Baseline"/>
    <x:tableColumn id="9" name="Primary Metric"/>
    <x:tableColumn id="10" name="Acceptance Gate"/>
    <x:tableColumn id="11" name="Status"/>
    <x:tableColumn id="12" name="Priority"/>
    <x:tableColumn id="13" name="Owner"/>
    <x:tableColumn id="14" name="Effort"/>
    <x:tableColumn id="15" name="Dependencies"/>
    <x:tableColumn id="16" name="Complexity"/>
    <x:tableColumn id="17" name="Codex Prompt Seed"/>
    <x:tableColumn id="18" name="Notes"/>
    <x:tableColumn id="19" name="Score"/>
    <x:tableColumn id="20" name="Health"/>
  </x:tableColumns>
  <x:tableStyleInfo name="TableStyleMedium2" showRowStripes="1"/>
</x:table>
</file>

<file path=xl/tables/table2.xml><?xml version="1.0" encoding="utf-8"?>
<x:table xmlns:x="http://schemas.openxmlformats.org/spreadsheetml/2006/main" id="19" name="DecisionLogTable" displayName="DecisionLogTable" ref="A1:I46" headerRowCount="1" totalsRowCount="0" totalsRowShown="0">
  <x:tableColumns count="9">
    <x:tableColumn id="1" name="Date"/>
    <x:tableColumn id="2" name="Loop ID"/>
    <x:tableColumn id="3" name="Decision"/>
    <x:tableColumn id="4" name="Rationale"/>
    <x:tableColumn id="5" name="Evidence / Link"/>
    <x:tableColumn id="6" name="Reversible?"/>
    <x:tableColumn id="7" name="Owner"/>
    <x:tableColumn id="8" name="Next Review"/>
    <x:tableColumn id="9" name="Notes"/>
  </x:tableColumns>
  <x:tableStyleInfo name="TableStyleMedium2" showFirstColumn="0" showLastColumn="0" showRowStripes="1" showColumnStripes="0"/>
</x:table>
</file>

<file path=xl/tables/table3.xml><?xml version="1.0" encoding="utf-8"?>
<x:table xmlns:x="http://schemas.openxmlformats.org/spreadsheetml/2006/main" id="14" name="RiskRegisterTable" displayName="RiskRegisterTable" ref="A1:I38" headerRowCount="1" totalsRowCount="0" totalsRowShown="0">
  <x:autoFilter ref="A1:I38"/>
  <x:tableColumns count="9">
    <x:tableColumn id="1" name="Risk ID"/>
    <x:tableColumn id="2" name="Area"/>
    <x:tableColumn id="3" name="Risk"/>
    <x:tableColumn id="4" name="Likelihood"/>
    <x:tableColumn id="5" name="Impact"/>
    <x:tableColumn id="6" name="Mitigation"/>
    <x:tableColumn id="7" name="Trigger"/>
    <x:tableColumn id="8" name="Owner"/>
    <x:tableColumn id="9" name="Status"/>
  </x:tableColumns>
  <x:tableStyleInfo name="TableStyleMedium2" showFirstColumn="0" showLastColumn="0" showRowStripes="1" showColumnStripes="0"/>
</x:table>
</file>

<file path=xl/tables/table4.xml><?xml version="1.0" encoding="utf-8"?>
<x:table xmlns:x="http://schemas.openxmlformats.org/spreadsheetml/2006/main" id="20" name="PromptBankTable" displayName="PromptBankTable" ref="A1:C38" headerRowCount="1" totalsRowCount="0" totalsRowShown="0">
  <x:tableColumns count="3">
    <x:tableColumn id="1" name="Loop ID"/>
    <x:tableColumn id="2" name="Loop Name"/>
    <x:tableColumn id="3" name="Prompt Seed"/>
  </x:tableColumns>
  <x:tableStyleInfo name="TableStyleMedium2" showFirstColumn="0" showLastColumn="0" showRowStripes="1" showColumnStripes="0"/>
</x:table>
</file>

<file path=xl/tables/table5.xml><?xml version="1.0" encoding="utf-8"?>
<x:table xmlns:x="http://schemas.openxmlformats.org/spreadsheetml/2006/main" id="16" name="PracticeTrackTable" displayName="PracticeTrackTable" ref="A4:I14" headerRowCount="1" totalsRowCount="0" totalsRowShown="0">
  <x:tableColumns count="9">
    <x:tableColumn id="1" name="ID"/>
    <x:tableColumn id="2" name="Gate"/>
    <x:tableColumn id="3" name="Core Question"/>
    <x:tableColumn id="4" name="Status"/>
    <x:tableColumn id="5" name="Deliverable"/>
    <x:tableColumn id="6" name="Acceptance Boundary"/>
    <x:tableColumn id="7" name="Depends On"/>
    <x:tableColumn id="8" name="Proof Posture"/>
    <x:tableColumn id="9" name="Evidence"/>
  </x:tableColumns>
  <x:tableStyleInfo name="TableStyleMedium2" showFirstColumn="0" showLastColumn="0" showRowStripes="1" showColumnStripes="0"/>
</x:table>
</file>

<file path=xl/tables/table6.xml><?xml version="1.0" encoding="utf-8"?>
<x:table xmlns:x="http://schemas.openxmlformats.org/spreadsheetml/2006/main" id="21" name="NextTwentyLoopsTable" displayName="NextTwentyLoopsTable" ref="A4:P24" headerRowCount="1" totalsRowCount="0" totalsRowShown="0">
  <x:autoFilter ref="A4:P24"/>
  <x:tableColumns count="16">
    <x:tableColumn id="1" name="Loop"/>
    <x:tableColumn id="2" name="Phase"/>
    <x:tableColumn id="3" name="Gate"/>
    <x:tableColumn id="4" name="Priority / Effort"/>
    <x:tableColumn id="5" name="Core question"/>
    <x:tableColumn id="6" name="Why high value"/>
    <x:tableColumn id="7" name="Build + research deliverables"/>
    <x:tableColumn id="8" name="Data scope + controls"/>
    <x:tableColumn id="9" name="Primary metrics"/>
    <x:tableColumn id="10" name="Acceptance + stop rule"/>
    <x:tableColumn id="11" name="Dependencies"/>
    <x:tableColumn id="12" name="Authorization boundary"/>
    <x:tableColumn id="13" name="Resource cap"/>
    <x:tableColumn id="14" name="Proof posture"/>
    <x:tableColumn id="15" name="Status"/>
    <x:tableColumn id="16" name="Primary source URLs"/>
  </x:tableColumns>
  <x:tableStyleInfo name="TableStyleMedium2" showFirstColumn="0" showLastColumn="0" showRowStripes="1" showColumnStripes="0"/>
</x:table>
</file>

<file path=xl/tables/table7.xml><?xml version="1.0" encoding="utf-8"?>
<x:table xmlns:x="http://schemas.openxmlformats.org/spreadsheetml/2006/main" id="22" name="ScientificLoopsTable" displayName="ScientificLoopsTable" ref="A4:P24" headerRowCount="1" totalsRowCount="0" totalsRowShown="0">
  <x:autoFilter ref="A4:P24"/>
  <x:tableColumns count="16">
    <x:tableColumn id="1" name="Loop"/>
    <x:tableColumn id="2" name="Phase"/>
    <x:tableColumn id="3" name="Work order"/>
    <x:tableColumn id="4" name="Priority"/>
    <x:tableColumn id="5" name="Core question"/>
    <x:tableColumn id="6" name="Scientific claim target"/>
    <x:tableColumn id="7" name="Build deliverable"/>
    <x:tableColumn id="8" name="Data scope + controls"/>
    <x:tableColumn id="9" name="Primary metrics"/>
    <x:tableColumn id="10" name="Acceptance + kill/park"/>
    <x:tableColumn id="11" name="Dependencies"/>
    <x:tableColumn id="12" name="Authorization boundary"/>
    <x:tableColumn id="13" name="Future resource cap"/>
    <x:tableColumn id="14" name="Proof posture"/>
    <x:tableColumn id="15" name="Status"/>
    <x:tableColumn id="16" name="Primary source URL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16bc5409a30e4ad0" /></Relationships>
</file>

<file path=xl/worksheets/_rels/sheet2.xml.rels>&#65279;<?xml version="1.0" encoding="utf-8"?><Relationships xmlns="http://schemas.openxmlformats.org/package/2006/relationships"><Relationship Type="http://schemas.openxmlformats.org/officeDocument/2006/relationships/table" Target="/xl/tables/table1.xml" Id="Rf226df55c0204a9c" /></Relationships>
</file>

<file path=xl/worksheets/_rels/sheet3.xml.rels>&#65279;<?xml version="1.0" encoding="utf-8"?><Relationships xmlns="http://schemas.openxmlformats.org/package/2006/relationships"><Relationship Type="http://schemas.openxmlformats.org/officeDocument/2006/relationships/table" Target="/xl/tables/table2.xml" Id="R8990df5cec694938" /></Relationships>
</file>

<file path=xl/worksheets/_rels/sheet4.xml.rels>&#65279;<?xml version="1.0" encoding="utf-8"?><Relationships xmlns="http://schemas.openxmlformats.org/package/2006/relationships"><Relationship Type="http://schemas.openxmlformats.org/officeDocument/2006/relationships/table" Target="/xl/tables/table3.xml" Id="R1f5a6e5c6ea341a1" /></Relationships>
</file>

<file path=xl/worksheets/_rels/sheet6.xml.rels>&#65279;<?xml version="1.0" encoding="utf-8"?><Relationships xmlns="http://schemas.openxmlformats.org/package/2006/relationships"><Relationship Type="http://schemas.openxmlformats.org/officeDocument/2006/relationships/table" Target="/xl/tables/table4.xml" Id="R30fccff3da224435" /></Relationships>
</file>

<file path=xl/worksheets/_rels/sheet8.xml.rels>&#65279;<?xml version="1.0" encoding="utf-8"?><Relationships xmlns="http://schemas.openxmlformats.org/package/2006/relationships"><Relationship Type="http://schemas.openxmlformats.org/officeDocument/2006/relationships/table" Target="/xl/tables/table5.xml" Id="Rd1c649bbc6dc45f3" /></Relationships>
</file>

<file path=xl/worksheets/_rels/sheet9.xml.rels>&#65279;<?xml version="1.0" encoding="utf-8"?><Relationships xmlns="http://schemas.openxmlformats.org/package/2006/relationships"><Relationship Type="http://schemas.openxmlformats.org/officeDocument/2006/relationships/table" Target="/xl/tables/table6.xml" Id="R199c5ad139ca4280" /></Relationships>
</file>

<file path=xl/worksheets/_rels/sheet10.xml.rels>&#65279;<?xml version="1.0" encoding="utf-8"?><Relationships xmlns="http://schemas.openxmlformats.org/package/2006/relationships"><Relationship Type="http://schemas.openxmlformats.org/officeDocument/2006/relationships/table" Target="/xl/tables/table7.xml" Id="Rdd872a93ec36420b" /></Relationships>
</file>

<file path=xl/worksheets/sheet1.xml><?xml version="1.0" encoding="utf-8"?>
<x:worksheet xmlns:x="http://schemas.openxmlformats.org/spreadsheetml/2006/main">
  <x:sheetFormatPr defaultRowHeight="15"/>
  <x:cols>
    <x:col min="1" max="1" width="28" hidden="0" customWidth="1"/>
    <x:col min="2" max="2" width="18" hidden="0" customWidth="1"/>
    <x:col min="3" max="3" width="12" hidden="0" customWidth="1"/>
    <x:col min="4" max="4" width="12" hidden="0" customWidth="1"/>
    <x:col min="6" max="6" width="28" hidden="0" customWidth="1"/>
    <x:col min="7" max="7" width="28" hidden="0" customWidth="1"/>
    <x:col min="8" max="8" width="28" hidden="0" customWidth="1"/>
  </x:cols>
  <x:sheetData>
    <x:row r="1" ht="28" customHeight="1">
      <x:c r="A1" s="21" t="str">
        <x:v>NeuroDecodeKit Roadmap Tracker: Original 20 + Evidence 25-44 + Scientific 45-64</x:v>
      </x:c>
      <x:c r="B1" s="21"/>
      <x:c r="C1" s="21"/>
      <x:c r="D1" s="21"/>
      <x:c r="E1" s="21"/>
      <x:c r="F1" s="21"/>
      <x:c r="G1" s="21"/>
      <x:c r="H1" s="21"/>
    </x:row>
    <x:row r="2">
      <x:c r="A2" s="29" t="str">
        <x:v>Core rule: keep every gate tiny, honest, measured, repeatable, and explicit about what it cannot prove.</x:v>
      </x:c>
      <x:c r="B2" s="29" t="str"/>
      <x:c r="C2" s="29" t="str"/>
      <x:c r="D2" s="29" t="str"/>
      <x:c r="E2" s="29" t="str"/>
      <x:c r="F2" s="29" t="str"/>
      <x:c r="G2" s="29" t="str"/>
      <x:c r="H2" s="29" t="str"/>
    </x:row>
    <x:row r="4" ht="30" customHeight="1">
      <x:c r="A4" s="6" t="str">
        <x:v>KPI</x:v>
      </x:c>
      <x:c r="B4" s="6" t="str">
        <x:v>Value</x:v>
      </x:c>
      <x:c r="F4" s="6" t="str">
        <x:v>How to use this tracker</x:v>
      </x:c>
      <x:c r="G4" s="6" t="str"/>
      <x:c r="H4" s="6" t="str"/>
    </x:row>
    <x:row r="5">
      <x:c r="A5" s="36" t="str">
        <x:v>Original roadmap loops</x:v>
      </x:c>
      <x:c r="B5" s="36" t="n">
        <x:f>COUNTA('Loop Tracker'!$A$2:$A$21)</x:f>
        <x:v>20</x:v>
      </x:c>
      <x:c r="F5" s="29" t="str">
        <x:v>1) Work top-down unless a blocker forces a spike.
2) Keep each gate small enough for one PR or experiment note.
3) Every gate needs an acceptance boundary.
4) Add complexity only after a simpler baseline fails.
5) Never silently download huge neurodata.
6) Record decisions in the Decision Log.
7) Read 20 as the original roadmap size; use Current numbered gate for the post-roadmap position.</x:v>
      </x:c>
      <x:c r="G5" s="29" t="str"/>
      <x:c r="H5" s="29" t="str"/>
    </x:row>
    <x:row r="6">
      <x:c r="A6" s="36" t="str">
        <x:v>Original completed</x:v>
      </x:c>
      <x:c r="B6" s="36" t="n">
        <x:v>19</x:v>
      </x:c>
      <x:c r="F6" s="29" t="str"/>
      <x:c r="G6" s="29" t="str"/>
      <x:c r="H6" s="29" t="str"/>
    </x:row>
    <x:row r="7">
      <x:c r="A7" s="36" t="str">
        <x:v>Original parked</x:v>
      </x:c>
      <x:c r="B7" s="36" t="n">
        <x:v>1</x:v>
      </x:c>
      <x:c r="F7" s="29" t="str"/>
      <x:c r="G7" s="29" t="str"/>
      <x:c r="H7" s="29" t="str"/>
    </x:row>
    <x:row r="8" ht="31.5" customHeight="1">
      <x:c r="A8" s="12" t="str">
        <x:v>Current numbered gate</x:v>
      </x:c>
      <x:c r="B8" s="12" t="str">
        <x:v>Loop 48 exact Stage A authorization or hold</x:v>
      </x:c>
      <x:c r="F8" s="29" t="str"/>
      <x:c r="G8" s="29" t="str"/>
      <x:c r="H8" s="29" t="str"/>
    </x:row>
    <x:row r="9">
      <x:c r="A9" s="36" t="str">
        <x:v>Original roadmap progress</x:v>
      </x:c>
      <x:c r="B9" s="41" t="n">
        <x:v>0.955</x:v>
      </x:c>
      <x:c r="F9" s="29" t="str"/>
      <x:c r="G9" s="29" t="str"/>
      <x:c r="H9" s="29" t="str"/>
    </x:row>
    <x:row r="10" ht="154" customHeight="1">
      <x:c r="A10" s="12" t="str">
        <x:v>Scope note</x:v>
      </x:c>
      <x:c r="B10" s="39" t="str">
        <x:v>Loop 26/31/33 and scientific Loops 46/47 are consumed and parked after the candidate lost to the no-signal prior. Loop 48 contract commit 83309bf is remotely green; its exact four-JSON Stage A authorization request is prepared but every execution field remains false. A separate H1-H5 train-only portfolio improves the hypotheses using shared evidence and sequential one-thread compute, but Stage B is design-only and cannot inherit Stage A permission.</x:v>
      </x:c>
      <x:c r="C10" s="39"/>
      <x:c r="D10" s="39"/>
      <x:c r="F10" s="29" t="str"/>
      <x:c r="G10" s="29" t="str"/>
      <x:c r="H10" s="29" t="str"/>
    </x:row>
    <x:row r="11">
      <x:c r="F11" s="29" t="str"/>
      <x:c r="G11" s="29" t="str"/>
      <x:c r="H11" s="29" t="str"/>
    </x:row>
    <x:row r="12" ht="30" customHeight="1">
      <x:c r="A12" s="6" t="str">
        <x:v>Original phase</x:v>
      </x:c>
      <x:c r="B12" s="6" t="str">
        <x:v>Loops</x:v>
      </x:c>
      <x:c r="C12" s="6" t="str">
        <x:v>Completed</x:v>
      </x:c>
      <x:c r="D12" s="6" t="str">
        <x:v>Progress</x:v>
      </x:c>
      <x:c r="F12" s="29" t="str"/>
      <x:c r="G12" s="29" t="str"/>
      <x:c r="H12" s="29" t="str"/>
    </x:row>
    <x:row r="13">
      <x:c r="A13" t="str">
        <x:v>Foundation</x:v>
      </x:c>
      <x:c r="B13" t="n">
        <x:f>COUNTIF('Loop Tracker'!$B$2:$B$21,A13)</x:f>
        <x:v>5</x:v>
      </x:c>
      <x:c r="C13" t="n">
        <x:f>COUNTIFS('Loop Tracker'!$B$2:$B$21,A13,'Loop Tracker'!$K$2:$K$21,"Done")</x:f>
        <x:v>5</x:v>
      </x:c>
      <x:c r="D13" s="34" t="n">
        <x:f>AVERAGE('Loop Tracker'!$S$2:$S$6)</x:f>
        <x:v>1</x:v>
      </x:c>
      <x:c r="F13" s="29" t="str"/>
      <x:c r="G13" s="29" t="str"/>
      <x:c r="H13" s="29" t="str"/>
    </x:row>
    <x:row r="14">
      <x:c r="A14" t="str">
        <x:v>Baselines</x:v>
      </x:c>
      <x:c r="B14" t="n">
        <x:f>COUNTIF('Loop Tracker'!$B$2:$B$21,A14)</x:f>
        <x:v>4</x:v>
      </x:c>
      <x:c r="C14" t="n">
        <x:f>COUNTIFS('Loop Tracker'!$B$2:$B$21,A14,'Loop Tracker'!$K$2:$K$21,"Done")</x:f>
        <x:v>4</x:v>
      </x:c>
      <x:c r="D14" s="34" t="n">
        <x:f>AVERAGE('Loop Tracker'!$S$7:$S$10)</x:f>
        <x:v>1</x:v>
      </x:c>
    </x:row>
    <x:row r="15">
      <x:c r="A15" t="str">
        <x:v>Compression</x:v>
      </x:c>
      <x:c r="B15" t="n">
        <x:f>COUNTIF('Loop Tracker'!$B$2:$B$21,A15)</x:f>
        <x:v>4</x:v>
      </x:c>
      <x:c r="C15" t="n">
        <x:v>3</x:v>
      </x:c>
      <x:c r="D15" s="34" t="n">
        <x:f>AVERAGE('Loop Tracker'!$S$11:$S$14)</x:f>
        <x:v>0.775</x:v>
      </x:c>
    </x:row>
    <x:row r="16">
      <x:c r="A16" t="str">
        <x:v>Generalization</x:v>
      </x:c>
      <x:c r="B16" t="n">
        <x:f>COUNTIF('Loop Tracker'!$B$2:$B$21,A16)</x:f>
        <x:v>3</x:v>
      </x:c>
      <x:c r="C16" t="n">
        <x:v>3</x:v>
      </x:c>
      <x:c r="D16" s="34" t="n">
        <x:v>1</x:v>
      </x:c>
    </x:row>
    <x:row r="17">
      <x:c r="A17" t="str">
        <x:v>UX &amp; Reproducibility</x:v>
      </x:c>
      <x:c r="B17" t="n">
        <x:f>COUNTIF('Loop Tracker'!$B$2:$B$21,A17)</x:f>
        <x:v>2</x:v>
      </x:c>
      <x:c r="C17" t="n">
        <x:v>2</x:v>
      </x:c>
      <x:c r="D17" s="34" t="n">
        <x:v>1</x:v>
      </x:c>
    </x:row>
    <x:row r="18">
      <x:c r="A18" t="str">
        <x:v>Expansion</x:v>
      </x:c>
      <x:c r="B18" t="n">
        <x:f>COUNTIF('Loop Tracker'!$B$2:$B$21,A18)</x:f>
        <x:v>2</x:v>
      </x:c>
      <x:c r="C18" t="n">
        <x:v>2</x:v>
      </x:c>
      <x:c r="D18" s="34" t="n">
        <x:v>1</x:v>
      </x:c>
    </x:row>
  </x:sheetData>
  <x:mergeCells>
    <x:mergeCell ref="A1:H1"/>
    <x:mergeCell ref="A2:H2"/>
    <x:mergeCell ref="F4:H4"/>
    <x:mergeCell ref="F5:H13"/>
    <x:mergeCell ref="B10:D10"/>
  </x:mergeCells>
  <x:pageMargins left="0.7" right="0.7" top="0.75" bottom="0.75" header="0.3" footer="0.3"/>
  <x:drawing xmlns:r="http://schemas.openxmlformats.org/officeDocument/2006/relationships" r:id="R16bc5409a30e4ad0"/>
</x:worksheet>
</file>

<file path=xl/worksheets/sheet2.xml><?xml version="1.0" encoding="utf-8"?>
<x:worksheet xmlns:x="http://schemas.openxmlformats.org/spreadsheetml/2006/main">
  <x:sheetFormatPr defaultRowHeight="15"/>
  <x:cols>
    <x:col min="1" max="1" width="8" hidden="0" customWidth="1"/>
    <x:col min="2" max="2" width="18" hidden="0" customWidth="1"/>
    <x:col min="3" max="3" width="28" hidden="0" customWidth="1"/>
    <x:col min="4" max="4" width="38" hidden="0" customWidth="1"/>
    <x:col min="5" max="5" width="40" hidden="0" customWidth="1"/>
    <x:col min="6" max="6" width="38" hidden="0" customWidth="1"/>
    <x:col min="7" max="7" width="28" hidden="0" customWidth="1"/>
    <x:col min="8" max="8" width="32" hidden="0" customWidth="1"/>
    <x:col min="9" max="9" width="24" hidden="0" customWidth="1"/>
    <x:col min="10" max="10" width="42" hidden="0" customWidth="1"/>
    <x:col min="11" max="11" width="14" hidden="0" customWidth="1"/>
    <x:col min="12" max="12" width="10" hidden="0" customWidth="1"/>
    <x:col min="13" max="13" width="12" hidden="0" customWidth="1"/>
    <x:col min="14" max="14" width="10" hidden="0" customWidth="1"/>
    <x:col min="15" max="15" width="24" hidden="0" customWidth="1"/>
    <x:col min="16" max="16" width="12" hidden="0" customWidth="1"/>
    <x:col min="17" max="17" width="44" hidden="0" customWidth="1"/>
    <x:col min="18" max="18" width="24" hidden="0" customWidth="1"/>
    <x:col min="19" max="19" width="10" hidden="0" customWidth="1"/>
    <x:col min="20" max="20" width="18" hidden="0" customWidth="1"/>
  </x:cols>
  <x:sheetData>
    <x:row r="1" ht="30" customHeight="1">
      <x:c r="A1" s="6" t="str">
        <x:v>Loop ID</x:v>
      </x:c>
      <x:c r="B1" s="6" t="str">
        <x:v>Phase</x:v>
      </x:c>
      <x:c r="C1" s="6" t="str">
        <x:v>Loop Name</x:v>
      </x:c>
      <x:c r="D1" s="6" t="str">
        <x:v>Core Question</x:v>
      </x:c>
      <x:c r="E1" s="6" t="str">
        <x:v>Build Deliverable</x:v>
      </x:c>
      <x:c r="F1" s="6" t="str">
        <x:v>Research Deliverable</x:v>
      </x:c>
      <x:c r="G1" s="6" t="str">
        <x:v>Data Scope</x:v>
      </x:c>
      <x:c r="H1" s="6" t="str">
        <x:v>Method / Baseline</x:v>
      </x:c>
      <x:c r="I1" s="6" t="str">
        <x:v>Primary Metric</x:v>
      </x:c>
      <x:c r="J1" s="6" t="str">
        <x:v>Acceptance Gate</x:v>
      </x:c>
      <x:c r="K1" s="6" t="str">
        <x:v>Status</x:v>
      </x:c>
      <x:c r="L1" s="6" t="str">
        <x:v>Priority</x:v>
      </x:c>
      <x:c r="M1" s="6" t="str">
        <x:v>Owner</x:v>
      </x:c>
      <x:c r="N1" s="6" t="str">
        <x:v>Effort</x:v>
      </x:c>
      <x:c r="O1" s="6" t="str">
        <x:v>Dependencies</x:v>
      </x:c>
      <x:c r="P1" s="6" t="str">
        <x:v>Complexity</x:v>
      </x:c>
      <x:c r="Q1" s="6" t="str">
        <x:v>Codex Prompt Seed</x:v>
      </x:c>
      <x:c r="R1" s="6" t="str">
        <x:v>Notes</x:v>
      </x:c>
      <x:c r="S1" s="6" t="str">
        <x:v>Score</x:v>
      </x:c>
      <x:c r="T1" s="6" t="str">
        <x:v>Health</x:v>
      </x:c>
    </x:row>
    <x:row r="2" ht="68" customHeight="1">
      <x:c r="A2" s="14" t="n">
        <x:v>1</x:v>
      </x:c>
      <x:c r="B2" s="14" t="str">
        <x:v>Foundation</x:v>
      </x:c>
      <x:c r="C2" s="14" t="str">
        <x:v>PR1 Closeout + Smoke Loop</x:v>
      </x:c>
      <x:c r="D2" s="14" t="str">
        <x:v>Can one real/synthetic event-window extraction path run without hidden assumptions?</x:v>
      </x:c>
      <x:c r="E2" s="14" t="str">
        <x:v>Finalize `extract-windows`; add synthetic smoke data path; produce one `.npz` cache.</x:v>
      </x:c>
      <x:c r="F2" s="14" t="str">
        <x:v>Short note: what event fields were parsed, what was uncertain, what was dropped.</x:v>
      </x:c>
      <x:c r="G2" s="14" t="str">
        <x:v>Synthetic first; then one `.fif` + one `.mat` when available.</x:v>
      </x:c>
      <x:c r="H2" s="14" t="str">
        <x:v>Window extraction only; no model yet.</x:v>
      </x:c>
      <x:c r="I2" s="14" t="str">
        <x:v>events found / kept / dropped; output shape; reproducibility.</x:v>
      </x:c>
      <x:c r="J2" s="14" t="str">
        <x:v>Tests pass; CLI help works; one tiny cache can be produced; blockers documented.</x:v>
      </x:c>
      <x:c r="K2" s="14" t="str">
        <x:v>Done</x:v>
      </x:c>
      <x:c r="L2" s="14" t="str">
        <x:v>P0</x:v>
      </x:c>
      <x:c r="M2" s="14" t="str">
        <x:v>Codex</x:v>
      </x:c>
      <x:c r="N2" s="14" t="str">
        <x:v>S</x:v>
      </x:c>
      <x:c r="O2" s="14" t="str">
        <x:v>PR1 merged</x:v>
      </x:c>
      <x:c r="P2" s="14" t="str">
        <x:v>Low</x:v>
      </x:c>
      <x:c r="Q2" s="14" t="str">
        <x:v>Read PR1 diff, run tests, generate one synthetic cache, then attempt real one-block extraction only if files exist.</x:v>
      </x:c>
      <x:c r="R2" s="14" t="str">
        <x:v>Synthetic smoke path closed on 2026-06-29. Tests and CLI help passed; real extraction blocked until one explicit .fif/.mat pair is present.</x:v>
      </x:c>
      <x:c r="S2" s="16" t="n">
        <x:f>IF(K2="Done",1,IF(K2="Review",0.8,IF(K2="In Progress",0.5,IF(K2="Blocked",0.2,IF(K2="Parked",0.1,0)))))</x:f>
        <x:v>1</x:v>
      </x:c>
      <x:c r="T2" s="14" t="str">
        <x:f>IF(K2="Blocked","Fix blocker",IF(K2="Review","Review/merge",IF(K2="Parked","Parked",IF(AND(L2="P0",K2="Not Started"),"Next candidate",IF(K2="Done","Closed","Normal")))))</x:f>
        <x:v>Closed</x:v>
      </x:c>
    </x:row>
    <x:row r="3" ht="68" customHeight="1">
      <x:c r="A3" s="14" t="n">
        <x:v>2</x:v>
      </x:c>
      <x:c r="B3" s="14" t="str">
        <x:v>Foundation</x:v>
      </x:c>
      <x:c r="C3" s="14" t="str">
        <x:v>SpanishBCBL Manifest v1</x:v>
      </x:c>
      <x:c r="D3" s="14" t="str">
        <x:v>Can we map subject/session/block/log files before downloading anything large?</x:v>
      </x:c>
      <x:c r="E3" s="14" t="str">
        <x:v>Improve manifest parser with size, modality, subject/session/block, candidate log pairing, and warnings.</x:v>
      </x:c>
      <x:c r="F3" s="14" t="str">
        <x:v>Manifest QA note: ambiguous file patterns, missing logs, naming assumptions.</x:v>
      </x:c>
      <x:c r="G3" s="14" t="str">
        <x:v>Remote file list only; no large file download.</x:v>
      </x:c>
      <x:c r="H3" s="14" t="str">
        <x:v>Path parsing + heuristics + unit tests.</x:v>
      </x:c>
      <x:c r="I3" s="14" t="str">
        <x:v>% files classified; number of ambiguous paths.</x:v>
      </x:c>
      <x:c r="J3" s="14" t="str">
        <x:v>Manifest covers expected MEG/EEG/log file families; ambiguous rows are explicit.</x:v>
      </x:c>
      <x:c r="K3" s="14" t="str">
        <x:v>Done</x:v>
      </x:c>
      <x:c r="L3" s="14" t="str">
        <x:v>P0</x:v>
      </x:c>
      <x:c r="M3" s="14" t="str">
        <x:v>Codex</x:v>
      </x:c>
      <x:c r="N3" s="14" t="str">
        <x:v>S</x:v>
      </x:c>
      <x:c r="O3" s="14" t="str">
        <x:v>Loop 1</x:v>
      </x:c>
      <x:c r="P3" s="14" t="str">
        <x:v>Medium</x:v>
      </x:c>
      <x:c r="Q3" s="14" t="str">
        <x:v>Harden `manifest-from-paths` and produce a manifest summary with explicit unknowns rather than guessing.</x:v>
      </x:c>
      <x:c r="R3" s="14" t="str">
        <x:v>Manifest v1 closed on 2026-06-29. Rows now include family/warnings, optional sizes, and raw/log pairing summaries.</x:v>
      </x:c>
      <x:c r="S3" s="16" t="n">
        <x:f>IF(K3="Done",1,IF(K3="Review",0.8,IF(K3="In Progress",0.5,IF(K3="Blocked",0.2,IF(K3="Parked",0.1,0)))))</x:f>
        <x:v>1</x:v>
      </x:c>
      <x:c r="T3" s="14" t="str">
        <x:f>IF(K3="Blocked","Fix blocker",IF(K3="Review","Review/merge",IF(K3="Parked","Parked",IF(AND(L3="P0",K3="Not Started"),"Next candidate",IF(K3="Done","Closed","Normal")))))</x:f>
        <x:v>Closed</x:v>
      </x:c>
    </x:row>
    <x:row r="4" ht="68" customHeight="1">
      <x:c r="A4" s="14" t="n">
        <x:v>3</x:v>
      </x:c>
      <x:c r="B4" s="14" t="str">
        <x:v>Foundation</x:v>
      </x:c>
      <x:c r="C4" s="14" t="str">
        <x:v>Safe Tiny-Shard Selector</x:v>
      </x:c>
      <x:c r="D4" s="14" t="str">
        <x:v>Can a user request the smallest meaningful shard without accidentally downloading the universe?</x:v>
      </x:c>
      <x:c r="E4" s="14" t="str">
        <x:v>Add size-aware selection, max-files, max-total-GB, and required `--execute` for downloads.</x:v>
      </x:c>
      <x:c r="F4" s="14" t="str">
        <x:v>Tiny-shard selection policy and default safety limits.</x:v>
      </x:c>
      <x:c r="G4" s="14" t="str">
        <x:v>File manifest + selected MEG/log files.</x:v>
      </x:c>
      <x:c r="H4" s="14" t="str">
        <x:v>Selection constraints and dry-run report.</x:v>
      </x:c>
      <x:c r="I4" s="14" t="str">
        <x:v>planned GB; file count; expected cache shape.</x:v>
      </x:c>
      <x:c r="J4" s="14" t="str">
        <x:v>Dry run prints exact files and size estimate; real download requires explicit confirmation.</x:v>
      </x:c>
      <x:c r="K4" s="14" t="str">
        <x:v>Done</x:v>
      </x:c>
      <x:c r="L4" s="14" t="str">
        <x:v>P0</x:v>
      </x:c>
      <x:c r="M4" s="14" t="str">
        <x:v>Codex</x:v>
      </x:c>
      <x:c r="N4" s="14" t="str">
        <x:v>S</x:v>
      </x:c>
      <x:c r="O4" s="14" t="str">
        <x:v>Loop 2</x:v>
      </x:c>
      <x:c r="P4" s="14" t="str">
        <x:v>Low</x:v>
      </x:c>
      <x:c r="Q4" s="14" t="str">
        <x:v>Make the tiny selector safety-first: max bytes, max files, dry-run default, and clear planned download report.</x:v>
      </x:c>
      <x:c r="R4" s="14" t="str">
        <x:v>Safe selector closed on 2026-06-29. Plans now include caps, exact paths, known bytes, missing-size warnings, dry-run default, and execute guards.</x:v>
      </x:c>
      <x:c r="S4" s="16" t="n">
        <x:f>IF(K4="Done",1,IF(K4="Review",0.8,IF(K4="In Progress",0.5,IF(K4="Blocked",0.2,IF(K4="Parked",0.1,0)))))</x:f>
        <x:v>1</x:v>
      </x:c>
      <x:c r="T4" s="14" t="str">
        <x:f>IF(K4="Blocked","Fix blocker",IF(K4="Review","Review/merge",IF(K4="Parked","Parked",IF(AND(L4="P0",K4="Not Started"),"Next candidate",IF(K4="Done","Closed","Normal")))))</x:f>
        <x:v>Closed</x:v>
      </x:c>
    </x:row>
    <x:row r="5" ht="68" customHeight="1">
      <x:c r="A5" s="14" t="n">
        <x:v>4</x:v>
      </x:c>
      <x:c r="B5" s="14" t="str">
        <x:v>Foundation</x:v>
      </x:c>
      <x:c r="C5" s="14" t="str">
        <x:v>B2Q-mini Cache v0</x:v>
      </x:c>
      <x:c r="D5" s="14" t="str">
        <x:v>Can one selected block become a reusable tiny cache with enough provenance to trust later results?</x:v>
      </x:c>
      <x:c r="E5" s="14" t="str">
        <x:v>Create `.npz` cache schema v0 and optional metadata sidecar JSON.</x:v>
      </x:c>
      <x:c r="F5" s="14" t="str">
        <x:v>Cache schema spec: windows, labels, event metadata, sfreq, channels, source paths, params.</x:v>
      </x:c>
      <x:c r="G5" s="14" t="str">
        <x:v>One synthetic cache; optional one real block.</x:v>
      </x:c>
      <x:c r="H5" s="14" t="str">
        <x:v>NPZ cache + JSON metadata.</x:v>
      </x:c>
      <x:c r="I5" s="14" t="str">
        <x:v>cache size; load time; shape; label coverage.</x:v>
      </x:c>
      <x:c r="J5" s="14" t="str">
        <x:v>Cache loads with one function; metadata explains every transformation.</x:v>
      </x:c>
      <x:c r="K5" s="14" t="str">
        <x:v>Done</x:v>
      </x:c>
      <x:c r="L5" s="14" t="str">
        <x:v>P0</x:v>
      </x:c>
      <x:c r="M5" s="14" t="str">
        <x:v>Codex</x:v>
      </x:c>
      <x:c r="N5" s="14" t="str">
        <x:v>M</x:v>
      </x:c>
      <x:c r="O5" s="14" t="str">
        <x:v>Loops 1-3</x:v>
      </x:c>
      <x:c r="P5" s="14" t="str">
        <x:v>Medium</x:v>
      </x:c>
      <x:c r="Q5" s="14" t="str">
        <x:v>Define the first stable tiny-cache schema and add a `load-cache` smoke command or test.</x:v>
      </x:c>
      <x:c r="R5" s="14" t="str">
        <x:v>Cache schema v0 closed on 2026-06-29. NPZ caches now load through one schema-aware function with validation, transformations, warnings, and sidecar metadata.</x:v>
      </x:c>
      <x:c r="S5" s="16" t="n">
        <x:f>IF(K5="Done",1,IF(K5="Review",0.8,IF(K5="In Progress",0.5,IF(K5="Blocked",0.2,IF(K5="Parked",0.1,0)))))</x:f>
        <x:v>1</x:v>
      </x:c>
      <x:c r="T5" s="14" t="str">
        <x:f>IF(K5="Blocked","Fix blocker",IF(K5="Review","Review/merge",IF(K5="Parked","Parked",IF(AND(L5="P0",K5="Not Started"),"Next candidate",IF(K5="Done","Closed","Normal")))))</x:f>
        <x:v>Closed</x:v>
      </x:c>
    </x:row>
    <x:row r="6" ht="68" customHeight="1">
      <x:c r="A6" s="14" t="n">
        <x:v>5</x:v>
      </x:c>
      <x:c r="B6" s="14" t="str">
        <x:v>Foundation</x:v>
      </x:c>
      <x:c r="C6" s="14" t="str">
        <x:v>Metrics + Error Report v1</x:v>
      </x:c>
      <x:c r="D6" s="14" t="str">
        <x:v>Can every run produce an honest report without needing a notebook?</x:v>
      </x:c>
      <x:c r="E6" s="14" t="str">
        <x:v>Add `neurodecode report` that computes CER, WER, keyboard distance, and simple run metadata.</x:v>
      </x:c>
      <x:c r="F6" s="14" t="str">
        <x:v>Metric definitions and when each metric is misleading.</x:v>
      </x:c>
      <x:c r="G6" s="14" t="str">
        <x:v>Synthetic predictions; later tiny real predictions.</x:v>
      </x:c>
      <x:c r="H6" s="14" t="str">
        <x:v>CER/WER + keyboard distance diagnostics.</x:v>
      </x:c>
      <x:c r="I6" s="14" t="str">
        <x:v>CER; WER; avg keyboard distance; coverage.</x:v>
      </x:c>
      <x:c r="J6" s="14" t="str">
        <x:v>Report runs from CLI and writes JSON/Markdown; metric tests pass.</x:v>
      </x:c>
      <x:c r="K6" s="14" t="str">
        <x:v>Done</x:v>
      </x:c>
      <x:c r="L6" s="14" t="str">
        <x:v>P0</x:v>
      </x:c>
      <x:c r="M6" s="14" t="str">
        <x:v>Codex</x:v>
      </x:c>
      <x:c r="N6" s="14" t="str">
        <x:v>S</x:v>
      </x:c>
      <x:c r="O6" s="14" t="str">
        <x:v>Loop 4</x:v>
      </x:c>
      <x:c r="P6" s="14" t="str">
        <x:v>Low</x:v>
      </x:c>
      <x:c r="Q6" s="14" t="str">
        <x:v>Build a report command that turns predictions + targets into a simple JSON/Markdown scorecard.</x:v>
      </x:c>
      <x:c r="R6" s="14" t="str"/>
      <x:c r="S6" s="16" t="n">
        <x:f>IF(K6="Done",1,IF(K6="Review",0.8,IF(K6="In Progress",0.5,IF(K6="Blocked",0.2,IF(K6="Parked",0.1,0)))))</x:f>
        <x:v>1</x:v>
      </x:c>
      <x:c r="T6" s="14" t="str">
        <x:f>IF(K6="Blocked","Fix blocker",IF(K6="Review","Review/merge",IF(K6="Parked","Parked",IF(AND(L6="P0",K6="Not Started"),"Next candidate",IF(K6="Done","Closed","Normal")))))</x:f>
        <x:v>Closed</x:v>
      </x:c>
    </x:row>
    <x:row r="7" ht="68" customHeight="1">
      <x:c r="A7" s="14" t="n">
        <x:v>6</x:v>
      </x:c>
      <x:c r="B7" s="14" t="str">
        <x:v>Baselines</x:v>
      </x:c>
      <x:c r="C7" s="14" t="str">
        <x:v>LM-only / Prior-only Baseline</x:v>
      </x:c>
      <x:c r="D7" s="14" t="str">
        <x:v>How much performance comes from language priors before using brain data?</x:v>
      </x:c>
      <x:c r="E7" s="14" t="str">
        <x:v>Implement baseline that predicts from label distribution, prompts, or known sentence set without neural signal.</x:v>
      </x:c>
      <x:c r="F7" s="14" t="str">
        <x:v>Baseline note: what a model can guess without MEG/EEG.</x:v>
      </x:c>
      <x:c r="G7" s="14" t="str">
        <x:v>Synthetic and tiny cache labels.</x:v>
      </x:c>
      <x:c r="H7" s="14" t="str">
        <x:v>Prior-only baseline; optional n-gram/known-corpus baseline.</x:v>
      </x:c>
      <x:c r="I7" s="14" t="str">
        <x:v>CER/WER vs neural models later.</x:v>
      </x:c>
      <x:c r="J7" s="14" t="str">
        <x:v>Baseline exists and is reported beside every neural result.</x:v>
      </x:c>
      <x:c r="K7" s="14" t="str">
        <x:v>Done</x:v>
      </x:c>
      <x:c r="L7" s="14" t="str">
        <x:v>P0</x:v>
      </x:c>
      <x:c r="M7" s="14" t="str">
        <x:v>Codex</x:v>
      </x:c>
      <x:c r="N7" s="14" t="str">
        <x:v>S</x:v>
      </x:c>
      <x:c r="O7" s="14" t="str">
        <x:v>Loop 5</x:v>
      </x:c>
      <x:c r="P7" s="14" t="str">
        <x:v>Low</x:v>
      </x:c>
      <x:c r="Q7" s="14" t="str">
        <x:v>Implement an intentionally dumb but critical no-brain baseline and wire it into the report.</x:v>
      </x:c>
      <x:c r="R7" s="14" t="str">
        <x:v>Prior-only baseline closed on 2026-07-01. Report warns no neural signal used.</x:v>
      </x:c>
      <x:c r="S7" s="16" t="n">
        <x:f>IF(K7="Done",1,IF(K7="Review",0.8,IF(K7="In Progress",0.5,IF(K7="Blocked",0.2,IF(K7="Parked",0.1,0)))))</x:f>
        <x:v>1</x:v>
      </x:c>
      <x:c r="T7" s="14" t="str">
        <x:f>IF(K7="Blocked","Fix blocker",IF(K7="Review","Review/merge",IF(K7="Parked","Parked",IF(AND(L7="P0",K7="Not Started"),"Next candidate",IF(K7="Done","Closed","Normal")))))</x:f>
        <x:v>Closed</x:v>
      </x:c>
    </x:row>
    <x:row r="8" ht="68" customHeight="1">
      <x:c r="A8" s="14" t="n">
        <x:v>7</x:v>
      </x:c>
      <x:c r="B8" s="14" t="str">
        <x:v>Baselines</x:v>
      </x:c>
      <x:c r="C8" s="14" t="str">
        <x:v>Template / Nearest-Centroid Baseline</x:v>
      </x:c>
      <x:c r="D8" s="14" t="str">
        <x:v>Is there separable signal in the windows before deep learning?</x:v>
      </x:c>
      <x:c r="E8" s="14" t="str">
        <x:v>Train/eval nearest-centroid or template classifier over windows/features.</x:v>
      </x:c>
      <x:c r="F8" s="14" t="str">
        <x:v>Result note: which labels/classes are separable and which are noise.</x:v>
      </x:c>
      <x:c r="G8" s="14" t="str">
        <x:v>B2Q-mini cache.</x:v>
      </x:c>
      <x:c r="H8" s="14" t="str">
        <x:v>Mean features, templates, centroid distance.</x:v>
      </x:c>
      <x:c r="I8" s="14" t="str">
        <x:v>accuracy; CER proxy if labels map to chars; confusion table.</x:v>
      </x:c>
      <x:c r="J8" s="14" t="str">
        <x:v>Model trains in seconds and produces a baseline report.</x:v>
      </x:c>
      <x:c r="K8" s="14" t="str">
        <x:v>Done</x:v>
      </x:c>
      <x:c r="L8" s="14" t="str">
        <x:v>P1</x:v>
      </x:c>
      <x:c r="M8" s="14" t="str">
        <x:v>Codex</x:v>
      </x:c>
      <x:c r="N8" s="14" t="str">
        <x:v>S</x:v>
      </x:c>
      <x:c r="O8" s="14" t="str">
        <x:v>Loops 4-5</x:v>
      </x:c>
      <x:c r="P8" s="14" t="str">
        <x:v>Low</x:v>
      </x:c>
      <x:c r="Q8" s="14" t="str">
        <x:v>Build a tiny transparent classifier before any neural net. Make it boring and trustworthy.</x:v>
      </x:c>
      <x:c r="R8" s="14" t="str">
        <x:v>Template baseline closed on 2026-07-01. Stratified synthetic holdout report warns synthetic data only.</x:v>
      </x:c>
      <x:c r="S8" s="16" t="n">
        <x:f>IF(K8="Done",1,IF(K8="Review",0.8,IF(K8="In Progress",0.5,IF(K8="Blocked",0.2,IF(K8="Parked",0.1,0)))))</x:f>
        <x:v>1</x:v>
      </x:c>
      <x:c r="T8" s="14" t="str">
        <x:f>IF(K8="Blocked","Fix blocker",IF(K8="Review","Review/merge",IF(K8="Parked","Parked",IF(AND(L8="P0",K8="Not Started"),"Next candidate",IF(K8="Done","Closed","Normal")))))</x:f>
        <x:v>Closed</x:v>
      </x:c>
    </x:row>
    <x:row r="9" ht="68" customHeight="1">
      <x:c r="A9" s="14" t="n">
        <x:v>8</x:v>
      </x:c>
      <x:c r="B9" s="14" t="str">
        <x:v>Baselines</x:v>
      </x:c>
      <x:c r="C9" s="14" t="str">
        <x:v>Tiny Conv / EEGNet-style Baseline</x:v>
      </x:c>
      <x:c r="D9" s="14" t="str">
        <x:v>Can a small neural model beat transparent baselines on the tiny loop?</x:v>
      </x:c>
      <x:c r="E9" s="14" t="str">
        <x:v>Add PyTorch optional tiny ConvNet baseline with CPU-friendly defaults.</x:v>
      </x:c>
      <x:c r="F9" s="14" t="str">
        <x:v>Model card: params, training time, expected failure modes.</x:v>
      </x:c>
      <x:c r="G9" s="14" t="str">
        <x:v>B2Q-mini cache.</x:v>
      </x:c>
      <x:c r="H9" s="14" t="str">
        <x:v>Small ConvNet / EEGNet-inspired classifier.</x:v>
      </x:c>
      <x:c r="I9" s="14" t="str">
        <x:v>validation accuracy; CER/WER if sequence labels exist.</x:v>
      </x:c>
      <x:c r="J9" s="14" t="str">
        <x:v>Trains on synthetic data in CI-like smoke mode; real data path documented.</x:v>
      </x:c>
      <x:c r="K9" s="14" t="str">
        <x:v>Done</x:v>
      </x:c>
      <x:c r="L9" s="14" t="str">
        <x:v>P1</x:v>
      </x:c>
      <x:c r="M9" s="14" t="str">
        <x:v>Codex</x:v>
      </x:c>
      <x:c r="N9" s="14" t="str">
        <x:v>M</x:v>
      </x:c>
      <x:c r="O9" s="14" t="str">
        <x:v>Loop 7</x:v>
      </x:c>
      <x:c r="P9" s="14" t="str">
        <x:v>Medium</x:v>
      </x:c>
      <x:c r="Q9" s="14" t="str">
        <x:v>Add a tiny neural baseline without making the package heavy; optional deps and fast smoke test only.</x:v>
      </x:c>
      <x:c r="R9" s="14" t="str">
        <x:v>Tiny Conv baseline closed on 2026-07-01. Torch training smoke is present but skipped locally because the ml extra is not installed.</x:v>
      </x:c>
      <x:c r="S9" s="16" t="n">
        <x:f>IF(K9="Done",1,IF(K9="Review",0.8,IF(K9="In Progress",0.5,IF(K9="Blocked",0.2,IF(K9="Parked",0.1,0)))))</x:f>
        <x:v>1</x:v>
      </x:c>
      <x:c r="T9" s="14" t="str">
        <x:f>IF(K9="Blocked","Fix blocker",IF(K9="Review","Review/merge",IF(K9="Parked","Parked",IF(AND(L9="P0",K9="Not Started"),"Next candidate",IF(K9="Done","Closed","Normal")))))</x:f>
        <x:v>Closed</x:v>
      </x:c>
    </x:row>
    <x:row r="10" ht="108" customHeight="1">
      <x:c r="A10" s="14" t="n">
        <x:v>9</x:v>
      </x:c>
      <x:c r="B10" s="14" t="str">
        <x:v>Baselines</x:v>
      </x:c>
      <x:c r="C10" s="14" t="str">
        <x:v>CTC Character Decoder Scaffold</x:v>
      </x:c>
      <x:c r="D10" s="14" t="str">
        <x:v>Can a resource-bounded continuous sentence decoder learn sequence alignment without keystroke timing?</x:v>
      </x:c>
      <x:c r="E10" s="14" t="str">
        <x:v>Add a continuous sentence-window cache interface and optional tiny CTC model; prove synthetic training, then run one validated S21 block smoke.</x:v>
      </x:c>
      <x:c r="F10" s="14" t="str">
        <x:v>CTC feasibility and official Brain2Qwerty v2 mapping note, including data, compute, latency, and hardware gaps.</x:v>
      </x:c>
      <x:c r="G10" s="14" t="str">
        <x:v>Synthetic sequence data plus validated S21 session-1 block1: 66 trials; 16-channel extraction smoke.</x:v>
      </x:c>
      <x:c r="H10" s="14" t="str">
        <x:v>Tiny Conv/CTC encoder with padded variable-length sentence batches; CPU-safe smoke defaults.</x:v>
      </x:c>
      <x:c r="I10" s="14" t="str">
        <x:v>CER; blank rate; input/target lengths; runtime; peak memory; cache bytes.</x:v>
      </x:c>
      <x:c r="J10" s="14" t="str">
        <x:v>Synthetic CTC loop trains; one sentence-level real cache validates shapes and labels; no real decoding-performance claim.</x:v>
      </x:c>
      <x:c r="K10" s="14" t="str">
        <x:v>Done</x:v>
      </x:c>
      <x:c r="L10" s="14" t="str">
        <x:v>P1</x:v>
      </x:c>
      <x:c r="M10" s="14" t="str">
        <x:v>Codex</x:v>
      </x:c>
      <x:c r="N10" s="14" t="str">
        <x:v>M</x:v>
      </x:c>
      <x:c r="O10" s="14" t="str">
        <x:v>Loop 8 plus Loop 8.5 real alignment gate</x:v>
      </x:c>
      <x:c r="P10" s="14" t="str">
        <x:v>Medium</x:v>
      </x:c>
      <x:c r="Q10" s="14" t="str">
        <x:v>Build a CPU-bounded continuous sentence cache and minimal CTC scaffold from the validated S21 block1. Keep Torch optional, preserve the no-brain comparator, and report shape, bytes, runtime, memory, CER, and blank rate.</x:v>
      </x:c>
      <x:c r="R10" s="14" t="str">
        <x:v>Loop 9 closed 2026-07-10: b2q-sentence-cache v0; synthetic CTC 20/20 seeds at CER 0.0 with one training-only restart; prior CER 0.7068; real S21 cache 66x16x617, 1.6 MB, 6.24 sec, about 515 MiB peak RSS. No real model score.</x:v>
      </x:c>
      <x:c r="S10" s="16" t="n">
        <x:f>IF(K10="Done",1,IF(K10="Review",0.8,IF(K10="In Progress",0.5,IF(K10="Blocked",0.2,IF(K10="Parked",0.1,0)))))</x:f>
        <x:v>1</x:v>
      </x:c>
      <x:c r="T10" s="14" t="str">
        <x:f>IF(K10="Blocked","Fix blocker",IF(K10="Review","Review/merge",IF(K10="Parked","Parked",IF(AND(L10="P0",K10="Not Started"),"Next candidate",IF(K10="Done","Closed","Normal")))))</x:f>
        <x:v>Closed</x:v>
      </x:c>
    </x:row>
    <x:row r="11" ht="120" customHeight="1">
      <x:c r="A11" s="14" t="n">
        <x:v>10</x:v>
      </x:c>
      <x:c r="B11" s="14" t="str">
        <x:v>Compression</x:v>
      </x:c>
      <x:c r="C11" s="14" t="str">
        <x:v>Sampling-Rate Sweep</x:v>
      </x:c>
      <x:c r="D11" s="14" t="str">
        <x:v>How low can sampling rate go before the tiny-loop signal breaks?</x:v>
      </x:c>
      <x:c r="E11" s="14" t="str">
        <x:v>Add experiment runner for 1000/500/250/100/50 Hz or available equivalents.</x:v>
      </x:c>
      <x:c r="F11" s="14" t="str">
        <x:v>Resource curve: cache bytes, timepoints, effective bandwidth, timing grid, signal summaries, and CTC feasibility; no retained-accuracy claim.</x:v>
      </x:c>
      <x:c r="G11" s="14" t="str">
        <x:v>Validated S21 block1, same 16 channels, 100/50/25 Hz; no additional download.</x:v>
      </x:c>
      <x:c r="H11" s="14" t="str">
        <x:v>Sequential isolated sentence-cache workers plus strict cross-rate identity and feasibility audit.</x:v>
      </x:c>
      <x:c r="I11" s="14" t="str">
        <x:v>cache bytes; runtime; peak RSS; bandwidth; boundary quantization; signal RMS/clamp; stride-one and official v2 CTC margins</x:v>
      </x:c>
      <x:c r="J11" s="14" t="str">
        <x:v>One JSON/Markdown report compares identical 66-row, 16-channel 100/50/25 Hz caches and audits the official temporal contract; no accuracy winner is selected.</x:v>
      </x:c>
      <x:c r="K11" s="14" t="str">
        <x:v>Done</x:v>
      </x:c>
      <x:c r="L11" s="14" t="str">
        <x:v>P1</x:v>
      </x:c>
      <x:c r="M11" s="14" t="str">
        <x:v>Codex</x:v>
      </x:c>
      <x:c r="N11" s="14" t="str">
        <x:v>M</x:v>
      </x:c>
      <x:c r="O11" s="14" t="str">
        <x:v>Loop 9 real sentence cache</x:v>
      </x:c>
      <x:c r="P11" s="14" t="str">
        <x:v>Medium</x:v>
      </x:c>
      <x:c r="Q11" s="14" t="str">
        <x:v>Run isolated one-thread 100/50/25 Hz sentence-cache extraction from validated S21 block1; verify exact identity and report resource, bandwidth, timing, signal, and CTC constraints without training.</x:v>
      </x:c>
      <x:c r="R11" s="14" t="str">
        <x:v>Loop 10 closed 2026-07-10. 100/50/25 Hz caches: 1,663,209 / 846,334 / 431,451 bytes; final run 4.121 / 3.586 / 3.539 sec. Stride-one: all 66/66 feasible. Official v2 kernel16/stride4: 66/66, 66/66, 0/66. No accuracy winner selected.</x:v>
      </x:c>
      <x:c r="S11" s="16" t="n">
        <x:f>IF(K11="Done",1,IF(K11="Review",0.8,IF(K11="In Progress",0.5,IF(K11="Blocked",0.2,IF(K11="Parked",0.1,0)))))</x:f>
        <x:v>1</x:v>
      </x:c>
      <x:c r="T11" s="14" t="str">
        <x:f>IF(K11="Blocked","Fix blocker",IF(K11="Review","Review/merge",IF(K11="Parked","Parked",IF(AND(L11="P0",K11="Not Started"),"Next candidate",IF(K11="Done","Closed","Normal")))))</x:f>
        <x:v>Closed</x:v>
      </x:c>
    </x:row>
    <x:row r="12" ht="120" customHeight="1">
      <x:c r="A12" s="14" t="n">
        <x:v>11</x:v>
      </x:c>
      <x:c r="B12" s="14" t="str">
        <x:v>Compression</x:v>
      </x:c>
      <x:c r="C12" s="14" t="str">
        <x:v>Channel / Sensor Subset Sweep</x:v>
      </x:c>
      <x:c r="D12" s="14" t="str">
        <x:v>Can explicit geometry-aware channel subsets reduce local input cost while preserving distinct signal proxies?</x:v>
      </x:c>
      <x:c r="E12" s="14" t="str">
        <x:v>Add channel geometry provenance and `channel-subset-sweep` with spatial-FPS, variance, seeded-random, and file-order strategies plus a 128 MiB cap.</x:v>
      </x:c>
      <x:c r="F12" s="14" t="str">
        <x:v>Real S21 channel-subset report anchored to the official v2 random-sensor ablation, with proxy and hardware caveats.</x:v>
      </x:c>
      <x:c r="G12" s="14" t="str">
        <x:v>Validated S21 session-1 block1: 66 sentences, 102 magnetometers, 100 Hz; no additional download.</x:v>
      </x:c>
      <x:c r="H12" s="14" t="str">
        <x:v>Nested 76/51/25/16/8-channel subsets using spatial FPS, same-block post-scaling variance, seed-17 random, and first-order controls.</x:v>
      </x:c>
      <x:c r="I12" s="14" t="str">
        <x:v>cache bytes; runtime/RSS; marginal variance share; mean/max spatial coverage; set overlap; exact trial/text/timing identity; no decoder score</x:v>
      </x:c>
      <x:c r="J12" s="14" t="str">
        <x:v>One finite-geometry 102-mag base and 20 subset caches stay under 128 MiB, preserve exact identity and signal slices, and yield candidates without claiming an accuracy winner.</x:v>
      </x:c>
      <x:c r="K12" s="14" t="str">
        <x:v>Done</x:v>
      </x:c>
      <x:c r="L12" s="14" t="str">
        <x:v>P1</x:v>
      </x:c>
      <x:c r="M12" s="14" t="str">
        <x:v>Codex</x:v>
      </x:c>
      <x:c r="N12" s="14" t="str">
        <x:v>M</x:v>
      </x:c>
      <x:c r="O12" s="14" t="str">
        <x:v>Loop 10 100 Hz cache plus validated S21 raw geometry</x:v>
      </x:c>
      <x:c r="P12" s="14" t="str">
        <x:v>Medium</x:v>
      </x:c>
      <x:c r="Q12" s="14" t="str">
        <x:v>Extract one 102-magnetometer 100 Hz S21 base cache with geometry before preload. Run nested 76/51/25/16/8 spatial-FPS, variance, random, and first-order subsets under 128 MiB; report resources, proxy metrics, overlaps, and exact identity without an accuracy or OPM claim.</x:v>
      </x:c>
      <x:c r="R12" s="14" t="str">
        <x:v>Closed 2026-07-10. Base 66x102x617: 10,602,568 B, 12.004 s, 1,679,278,080 B peak RSS. Sweep: 3.492 s and 73,683,875 B. At 16 channels, FPS mean/max coverage was 34.9/69.8 mm with 14.8% variance share; variance was 56.6/140.3 mm with 21.3%; first-order was 102.2/219.3 mm. Exact identities passed; no accuracy winner.</x:v>
      </x:c>
      <x:c r="S12" s="16" t="n">
        <x:f>IF(K12="Done",1,IF(K12="Review",0.8,IF(K12="In Progress",0.5,IF(K12="Blocked",0.2,IF(K12="Parked",0.1,0)))))</x:f>
        <x:v>1</x:v>
      </x:c>
      <x:c r="T12" s="14" t="str">
        <x:f>IF(K12="Blocked","Fix blocker",IF(K12="Review","Review/merge",IF(K12="Parked","Parked",IF(AND(L12="P0",K12="Not Started"),"Next candidate",IF(K12="Done","Closed","Normal")))))</x:f>
        <x:v>Closed</x:v>
      </x:c>
    </x:row>
    <x:row r="13" ht="68" customHeight="1">
      <x:c r="A13" s="14" t="n">
        <x:v>12</x:v>
      </x:c>
      <x:c r="B13" s="14" t="str">
        <x:v>Compression</x:v>
      </x:c>
      <x:c r="C13" s="14" t="str">
        <x:v>Precision + Storage Sweep</x:v>
      </x:c>
      <x:c r="D13" s="14" t="str">
        <x:v>Can we reduce local cache and load cost while bounding signal distortion before any decoder test?</x:v>
      </x:c>
      <x:c r="E13" s="14" t="str">
        <x:v>Add a representation runner for float32, float16, and calibrated integer/serialization variants without changing the sentence-cache contract.</x:v>
      </x:c>
      <x:c r="F13" s="14" t="str">
        <x:v>Storage/distortion report covering bytes, encode/load time, reconstruction error, saturation, and proof limits.</x:v>
      </x:c>
      <x:c r="G13" s="14" t="str">
        <x:v>Fixed Loop 11 102-mag base plus 16-channel FPS and variance candidate caches; no new download.</x:v>
      </x:c>
      <x:c r="H13" s="14" t="str">
        <x:v>Deterministic encode/decode variants over identical arrays; no model training.</x:v>
      </x:c>
      <x:c r="I13" s="14" t="str">
        <x:v>bytes; compression ratio; encode/load time; reconstruction RMSE/max error; saturation; exact metadata identity</x:v>
      </x:c>
      <x:c r="J13" s="14" t="str">
        <x:v>At least three representations preserve schema and trial identity, stay within an explicit output cap, and report distortion without declaring retained decoder accuracy.</x:v>
      </x:c>
      <x:c r="K13" s="14" t="str">
        <x:v>Done</x:v>
      </x:c>
      <x:c r="L13" s="14" t="str">
        <x:v>P1</x:v>
      </x:c>
      <x:c r="M13" s="14" t="str">
        <x:v>Codex</x:v>
      </x:c>
      <x:c r="N13" s="14" t="str">
        <x:v>M</x:v>
      </x:c>
      <x:c r="O13" s="14" t="str">
        <x:v>Loop 11 geometry-aware subset caches</x:v>
      </x:c>
      <x:c r="P13" s="14" t="str">
        <x:v>Medium</x:v>
      </x:c>
      <x:c r="Q13" s="14" t="str">
        <x:v>On fixed Loop 11 base, FPS-16, and variance-16 caches, compare float32, float16, and calibrated integer/serialization variants. Record bytes, encode/load time, reconstruction RMSE/max error, saturation, and metadata identity; do not train or call a format accuracy-preserving.</x:v>
      </x:c>
      <x:c r="R13" s="14" t="str">
        <x:v>Closed 2026-07-10. Five encodings across base/FPS-16/variance-16 produced 15 exact-identity artifacts in 34.4 MiB. Qint16 was 49.84% smaller with worst relative RMSE 0.003693%; qint8 was 80.75% smaller with worst relative RMSE 0.9531%. No clipping or decoder accuracy claim; float32 remains default.</x:v>
      </x:c>
      <x:c r="S13" s="16" t="n">
        <x:f>IF(K13="Done",1,IF(K13="Review",0.8,IF(K13="In Progress",0.5,IF(K13="Blocked",0.2,IF(K13="Parked",0.1,0)))))</x:f>
        <x:v>1</x:v>
      </x:c>
      <x:c r="T13" s="14" t="str">
        <x:f>IF(K13="Blocked","Fix blocker",IF(K13="Review","Review/merge",IF(K13="Parked","Parked",IF(AND(L13="P0",K13="Not Started"),"Next candidate",IF(K13="Done","Closed","Normal")))))</x:f>
        <x:v>Closed</x:v>
      </x:c>
    </x:row>
    <x:row r="14" ht="68" customHeight="1">
      <x:c r="A14" s="14" t="n">
        <x:v>13</x:v>
      </x:c>
      <x:c r="B14" s="14" t="str">
        <x:v>Compression</x:v>
      </x:c>
      <x:c r="C14" s="14" t="str">
        <x:v>Measured Lazy-Backend Gate</x:v>
      </x:c>
      <x:c r="D14" s="14" t="str">
        <x:v>Is current NPZ complete/partial access materially limiting enough to justify another backend?</x:v>
      </x:c>
      <x:c r="E14" s="14" t="str">
        <x:v>Add an isolated NPZ access benchmark with explicit thresholds and only build another backend after a failed gate.</x:v>
      </x:c>
      <x:c r="F14" s="14" t="str">
        <x:v>Backend decision note separating relative partial-read inefficiency from absolute local cost, including a no-build outcome.</x:v>
      </x:c>
      <x:c r="G14" s="14" t="str">
        <x:v>Nine fixed Loop 11/12 real caches; no raw FIF read, new data download, or signal-cache write.</x:v>
      </x:c>
      <x:c r="H14" s="14" t="str">
        <x:v>Fresh one-thread workers for full, 1-row, and 8-row standard/packed NPZ access with exact decoded hashes.</x:v>
      </x:c>
      <x:c r="I14" s="14" t="str">
        <x:v>full/partial median time; peak RSS; compressed bytes; exact identity; implementation overhead</x:v>
      </x:c>
      <x:c r="J14" s="14" t="str">
        <x:v>A backend is built only after a failed declared gate; otherwise NPZ stays default with durable revisit triggers.</x:v>
      </x:c>
      <x:c r="K14" s="14" t="str">
        <x:v>Parked</x:v>
      </x:c>
      <x:c r="L14" s="14" t="str">
        <x:v>P2</x:v>
      </x:c>
      <x:c r="M14" s="14" t="str">
        <x:v>Codex</x:v>
      </x:c>
      <x:c r="N14" s="14" t="str">
        <x:v>M</x:v>
      </x:c>
      <x:c r="O14" s="14" t="str">
        <x:v>Loop 12</x:v>
      </x:c>
      <x:c r="P14" s="14" t="str">
        <x:v>Medium</x:v>
      </x:c>
      <x:c r="Q14" s="14" t="str">
        <x:v>Run the bounded NPZ access gate first. Record relative inefficiency and absolute time/memory/size separately; add no backend without a failed measured gate and exact semantic-parity plan.</x:v>
      </x:c>
      <x:c r="R14" s="14" t="str">
        <x:v>Closed 2026-07-10 as Parked. 9/9 caches passed exact hashes and all budgets. Largest 10.1 MiB; slowest full/partial 60.386/53.634 ms; highest worker RSS 140.6 MiB. One-row member amplification is 66x, but absolute cost is below budget. Zarr was not installed; proceed to Loop 14.</x:v>
      </x:c>
      <x:c r="S14" s="16" t="n">
        <x:f>IF(K14="Done",1,IF(K14="Review",0.8,IF(K14="In Progress",0.5,IF(K14="Blocked",0.2,IF(K14="Parked",0.1,0)))))</x:f>
        <x:v>0.1</x:v>
      </x:c>
      <x:c r="T14" s="14" t="str">
        <x:f>IF(K14="Blocked","Fix blocker",IF(K14="Review","Review/merge",IF(K14="Parked","Parked",IF(AND(L14="P0",K14="Not Started"),"Next candidate",IF(K14="Done","Closed","Normal")))))</x:f>
        <x:v>Parked</x:v>
      </x:c>
    </x:row>
    <x:row r="15" ht="132" customHeight="1">
      <x:c r="A15" s="14" t="n">
        <x:v>14</x:v>
      </x:c>
      <x:c r="B15" s="14" t="str">
        <x:v>Generalization</x:v>
      </x:c>
      <x:c r="C15" s="14" t="str">
        <x:v>Split Protocol v1</x:v>
      </x:c>
      <x:c r="D15" s="14" t="str">
        <x:v>Are repeated sentence texts or fit-on-eval transformations leaking information into validation/test results?</x:v>
      </x:c>
      <x:c r="E15" s="14" t="str">
        <x:v>Add deterministic sentence-text train/validation/test membership, explicit event/session/subject capability labels, membership hashes, and leakage validation.</x:v>
      </x:c>
      <x:c r="F15" s="14" t="str">
        <x:v>Protocol note mapping the official v2 80/10/10 text-group principle to inspectable local metadata and documenting stricter session/subject gates.</x:v>
      </x:c>
      <x:c r="G15" s="14" t="str">
        <x:v>Synthetic fixtures plus current 66-row S21 cache for plumbing only; no new download and no session/subject generalization claim.</x:v>
      </x:c>
      <x:c r="H15" s="14" t="str">
        <x:v>Pure-Python deterministic grouping, duplicate-text containment, train-only fitting rules, and report-level refusal of unsupported split claims.</x:v>
      </x:c>
      <x:c r="I15" s="14" t="str">
        <x:v>partition counts; group overlap; membership hash; unavailable metadata; fit-scope violations</x:v>
      </x:c>
      <x:c r="J15" s="14" t="str">
        <x:v>Every report names algorithm/version/group key; duplicate text never crosses partitions; unsupported session/subject splits fail or report unavailable; train-only fit scope is auditable.</x:v>
      </x:c>
      <x:c r="K15" s="14" t="str">
        <x:v>Done</x:v>
      </x:c>
      <x:c r="L15" s="14" t="str">
        <x:v>P0</x:v>
      </x:c>
      <x:c r="M15" s="14" t="str">
        <x:v>Codex</x:v>
      </x:c>
      <x:c r="N15" s="14" t="str">
        <x:v>S</x:v>
      </x:c>
      <x:c r="O15" s="14" t="str">
        <x:v>Loops 4-13</x:v>
      </x:c>
      <x:c r="P15" s="14" t="str">
        <x:v>Low</x:v>
      </x:c>
      <x:c r="Q15" s="14" t="str">
        <x:v>Keep the strict 55/6/5 membership and five source test rows frozen. The capped second-session gate is resolved by Loop 15; do not retune Loop 14 on either holdout.</x:v>
      </x:c>
      <x:c r="R15" s="14" t="str">
        <x:v>Closed 2026-07-10. Train-only scaler and exact report binding passed. Prior/tiny source-test CER 0.953488/0.947674 remained near-null. The second-session requirement is now resolved in Loop 15, whose fixed model fails transfer.</x:v>
      </x:c>
      <x:c r="S15" s="16" t="n">
        <x:f>IF(K15="Done",1,IF(K15="Review",0.8,IF(K15="In Progress",0.5,IF(K15="Blocked",0.2,IF(K15="Parked",0.1,0)))))</x:f>
        <x:v>1</x:v>
      </x:c>
      <x:c r="T15" s="14" t="str">
        <x:f>IF(K15="Blocked","Fix blocker",IF(K15="Review","Review/merge",IF(K15="Parked","Parked",IF(AND(L15="P0",K15="Not Started"),"Next candidate",IF(K15="Done","Closed","Normal")))))</x:f>
        <x:v>Closed</x:v>
      </x:c>
    </x:row>
    <x:row r="16" ht="210" customHeight="1">
      <x:c r="A16" s="14" t="n">
        <x:v>15</x:v>
      </x:c>
      <x:c r="B16" s="14" t="str">
        <x:v>Generalization</x:v>
      </x:c>
      <x:c r="C16" s="14" t="str">
        <x:v>Normalization + Adapter Baseline</x:v>
      </x:c>
      <x:c r="D16" s="14" t="str">
        <x:v>Can a tiny subject/session adapter improve stability without retraining everything?</x:v>
      </x:c>
      <x:c r="E16" s="14" t="str">
        <x:v>Zero-parameter robust channel-affine adapter and bounded synthetic gate runner.</x:v>
      </x:c>
      <x:c r="F16" s="14" t="str">
        <x:v>Primary-source adaptation note and synthetic proof protocol with explicit limits.</x:v>
      </x:c>
      <x:c r="G16" s="14" t="str">
        <x:v>Synthetic 96-row adapter gate only; real Stage A source-test and session-2 rows remain frozen.</x:v>
      </x:c>
      <x:c r="H16" s="14" t="str">
        <x:v>Source-train robust statistics plus unlabeled target-calibration statistics; validation-only adapter selection and one frozen synthetic holdout evaluation.</x:v>
      </x:c>
      <x:c r="I16" s="14" t="str">
        <x:v>Validation/holdout CER gain; paired bootstrap interval; reconstruction MAE; leakage, runtime, memory, storage, and cache checks.</x:v>
      </x:c>
      <x:c r="J16" s="14" t="str">
        <x:v>Stage A protocol and negative transfer result preserved. Stage B uses a 64/16/16 split, selects only on validation, improves frozen synthetic holdout, and keeps all real holdouts unopened.</x:v>
      </x:c>
      <x:c r="K16" s="14" t="str">
        <x:v>Done</x:v>
      </x:c>
      <x:c r="L16" s="14" t="str">
        <x:v>P2</x:v>
      </x:c>
      <x:c r="M16" s="14" t="str">
        <x:v>Codex</x:v>
      </x:c>
      <x:c r="N16" s="14" t="str">
        <x:v>M</x:v>
      </x:c>
      <x:c r="O16" s="14" t="str">
        <x:v>Loop 14</x:v>
      </x:c>
      <x:c r="P16" s="14" t="str">
        <x:v>Medium</x:v>
      </x:c>
      <x:c r="Q16" s="14" t="str">
        <x:v>Close after the synthetic affine gate passes; preserve real S21 holdouts and move calibration-size plus non-diagonal stress tests to Loop 16.</x:v>
      </x:c>
      <x:c r="R16" s="14" t="str">
        <x:v>Stage B closed 2026-07-10. Validation identity/adapted CER 0.327273/0; holdout identity/adapted/prior 0.344828/0/0.577586. Runtime 2.498 s, one thread, 21,354 artifact bytes, zero cache bytes. Synthetic diagonal shift only; no real adapter-benefit claim. Evidence: docs/LOOP_15_STAGE_B_SYNTHETIC_ADAPTER.md</x:v>
      </x:c>
      <x:c r="S16" s="16" t="n">
        <x:v>1</x:v>
      </x:c>
      <x:c r="T16" s="14" t="str">
        <x:v>Closed</x:v>
      </x:c>
    </x:row>
    <x:row r="17" ht="68" customHeight="1">
      <x:c r="A17" s="14" t="n">
        <x:v>16</x:v>
      </x:c>
      <x:c r="B17" s="14" t="str">
        <x:v>Generalization</x:v>
      </x:c>
      <x:c r="C17" s="14" t="str">
        <x:v>Calibration Curve Study</x:v>
      </x:c>
      <x:c r="D17" s="14" t="str">
        <x:v>How many examples or minutes are needed before performance becomes useful?</x:v>
      </x:c>
      <x:c r="E17" s="14" t="str">
        <x:v>Bounded six-size, three-seed calibration curve; multi-view CTC reuse; non-diagonal and time-varying synthetic shifts.</x:v>
      </x:c>
      <x:c r="F17" s="14" t="str">
        <x:v>Primary-source calibration/drift note with registered selection and explicit failure interpretation.</x:v>
      </x:c>
      <x:c r="G17" s="14" t="str">
        <x:v>Synthetic 96-row source plus independent 48-row unlabeled calibration pool; all real holdouts frozen.</x:v>
      </x:c>
      <x:c r="H17" s="14" t="str">
        <x:v>Validation-only nested 1/2/4/8/16/32-row curve across stationary diagonal, channel mixing, and within-row drift; one post-selection holdout pass.</x:v>
      </x:c>
      <x:c r="I17" s="14" t="str">
        <x:v>CER versus rows/minutes; seed range; paired uncertainty; reconstruction ratio; runtime, RSS, bytes, and leakage checks.</x:v>
      </x:c>
      <x:c r="J17" s="14" t="str">
        <x:v>Six sizes and three seeds complete; calibration texts are disjoint; target labels unused; static affine failure under mixing/time drift is reported; no real cache opened.</x:v>
      </x:c>
      <x:c r="K17" s="14" t="str">
        <x:v>Done</x:v>
      </x:c>
      <x:c r="L17" s="14" t="str">
        <x:v>P2</x:v>
      </x:c>
      <x:c r="M17" s="14" t="str">
        <x:v>Codex</x:v>
      </x:c>
      <x:c r="N17" s="14" t="str">
        <x:v>M</x:v>
      </x:c>
      <x:c r="O17" s="14" t="str">
        <x:v>Loop 15</x:v>
      </x:c>
      <x:c r="P17" s="14" t="str">
        <x:v>Medium</x:v>
      </x:c>
      <x:c r="Q17" s="14" t="str">
        <x:v>Close as synthetic characterization. Keep robust affine scoped to stationary diagonal drift; require a new synthetic gate for covariance or causal rolling adaptation.</x:v>
      </x:c>
      <x:c r="R17" s="14" t="str">
        <x:v>Closed 2026-07-10. Registered stationary selection: 1 synthetic row/1.26 s; holdout median identity/adapted CER 0.422414/0.232759, with 2 gains and 1 tie. Channel mixing 0.568966/0.862069 and time drift 0.439655/0.603448; all 6 stress seeds harmed. 1.897 s, 1 thread, 158,256 bytes, 0 cache bytes. Evidence: docs/LOOP_16_SYNTHETIC_CALIBRATION_CURVE.md</x:v>
      </x:c>
      <x:c r="S17" s="16" t="n">
        <x:v>1</x:v>
      </x:c>
      <x:c r="T17" s="14" t="str">
        <x:v>Closed</x:v>
      </x:c>
    </x:row>
    <x:row r="18" ht="91.5" customHeight="1">
      <x:c r="A18" s="14" t="n">
        <x:v>17</x:v>
      </x:c>
      <x:c r="B18" s="14" t="str">
        <x:v>UX &amp; Reproducibility</x:v>
      </x:c>
      <x:c r="C18" s="14" t="str">
        <x:v>Gradio Demo v1</x:v>
      </x:c>
      <x:c r="D18" s="14" t="str">
        <x:v>Can a smart outsider understand the loop in 60 seconds?</x:v>
      </x:c>
      <x:c r="E18" s="14" t="str">
        <x:v>Upgrade demo to load a cache, show target/prediction, confidence, errors, and signal snippet.</x:v>
      </x:c>
      <x:c r="F18" s="14" t="str">
        <x:v>Demo script with limitations copy that avoids mind-reading claims.</x:v>
      </x:c>
      <x:c r="G18" s="14" t="str">
        <x:v>Existing compact synthetic/report artifacts first; no new raw-data acquisition.</x:v>
      </x:c>
      <x:c r="H18" s="14" t="str">
        <x:v>Local Gradio workflow that reads standardized artifacts and exposes prediction, target, errors, uncertainty, calibration state, and proof posture.</x:v>
      </x:c>
      <x:c r="I18" s="14" t="str">
        <x:v>startup/runtime/RSS; displayed CER/WER; artifact provenance; proof-label completeness; interaction smoke result.</x:v>
      </x:c>
      <x:c r="J18" s="14" t="str">
        <x:v>One local command renders at least one end-to-end example and never labels the noncausal typed-sentence model as real-time or arbitrary-thought decoding.</x:v>
      </x:c>
      <x:c r="K18" s="14" t="str">
        <x:v>Done</x:v>
      </x:c>
      <x:c r="L18" s="14" t="str">
        <x:v>P1</x:v>
      </x:c>
      <x:c r="M18" s="14" t="str">
        <x:v>Codex</x:v>
      </x:c>
      <x:c r="N18" s="14" t="str">
        <x:v>M</x:v>
      </x:c>
      <x:c r="O18" s="14" t="str">
        <x:v>Loops 5-8</x:v>
      </x:c>
      <x:c r="P18" s="14" t="str">
        <x:v>Medium</x:v>
      </x:c>
      <x:c r="Q18" s="14" t="str">
        <x:v>Build an honest local Gradio demo from compact existing artifacts. Show signal snippet, target, prediction, CER/WER, uncertainty, calibration state, and proof posture. Keep heavy dependencies optional, measure startup/RSS, and state that the current model is noncausal and typing-task-specific.</x:v>
      </x:c>
      <x:c r="R18" s="14" t="str">
        <x:v>Closed 2026-07-10. Artifact-backed Gradio 6.20 console exposes 19 held-out synthetic examples, signal, target/prediction, CER/WER/keyboard error, aggregate-only real evidence, calibration state, and SHA-256 provenance. Predictive confidence is explicitly unavailable; decoder is noncausal and typing-task-specific. Final startup audit: 1.644 s, 224,837,632-byte peak RSS, 136,734-byte source cache, all 8 checks pass. Desktop/mobile/browser interactions pass with zero console errors. No network fetch, real model run, raw-data access, or new cache. Evidence: docs/LOOP_17_HONEST_LOCAL_DEMO.md</x:v>
      </x:c>
      <x:c r="S18" s="16" t="n">
        <x:f>IF(K18="Done",1,IF(K18="Review",0.8,IF(K18="In Progress",0.5,IF(K18="Blocked",0.2,IF(K18="Parked",0.1,0)))))</x:f>
        <x:v>1</x:v>
      </x:c>
      <x:c r="T18" s="14" t="str">
        <x:f>IF(K18="Blocked","Fix blocker",IF(K18="Review","Review/merge",IF(K18="Parked","Parked",IF(AND(L18="P0",K18="Not Started"),"Next candidate",IF(K18="Done","Closed","Normal")))))</x:f>
        <x:v>Closed</x:v>
      </x:c>
    </x:row>
    <x:row r="19" ht="100.5" customHeight="1">
      <x:c r="A19" s="14" t="n">
        <x:v>18</x:v>
      </x:c>
      <x:c r="B19" s="14" t="str">
        <x:v>UX &amp; Reproducibility</x:v>
      </x:c>
      <x:c r="C19" s="14" t="str">
        <x:v>Leaderboard + Report Cards</x:v>
      </x:c>
      <x:c r="D19" s="14" t="str">
        <x:v>Can every experiment be compared without spreadsheet archaeology?</x:v>
      </x:c>
      <x:c r="E19" s="14" t="str">
        <x:v>Add standardized run artifacts: metrics.json, config snapshot, report.md, cache metadata.</x:v>
      </x:c>
      <x:c r="F19" s="14" t="str">
        <x:v>Leaderboard schema and sample report card.</x:v>
      </x:c>
      <x:c r="G19" s="14" t="str">
        <x:v>All prior experiment outputs.</x:v>
      </x:c>
      <x:c r="H19" s="14" t="str">
        <x:v>Report generator + local leaderboard.</x:v>
      </x:c>
      <x:c r="I19" s="14" t="str">
        <x:v>runs comparable; missing metadata count.</x:v>
      </x:c>
      <x:c r="J19" s="14" t="str">
        <x:v>At least 3 baselines appear in one leaderboard table.</x:v>
      </x:c>
      <x:c r="K19" s="14" t="str">
        <x:v>Done</x:v>
      </x:c>
      <x:c r="L19" s="14" t="str">
        <x:v>P1</x:v>
      </x:c>
      <x:c r="M19" s="14" t="str">
        <x:v>Codex</x:v>
      </x:c>
      <x:c r="N19" s="14" t="str">
        <x:v>M</x:v>
      </x:c>
      <x:c r="O19" s="14" t="str">
        <x:v>Loops 5-8,14</x:v>
      </x:c>
      <x:c r="P19" s="14" t="str">
        <x:v>Low</x:v>
      </x:c>
      <x:c r="Q19" s="14" t="str">
        <x:v>Build the experiment report-card format and local leaderboard; make missing metadata obvious.</x:v>
      </x:c>
      <x:c r="R19" s="14" t="str">
        <x:v>Closed 2026-07-10. Versioned artifact-only schema indexes 11 saved runs across 6 exact cohorts and 4 method families. Four within-cohort rankings are authorized; event holdout and fit-on-eval smoke stay unranked, and no global winner exists. All required fields pass; missing SemER, cache hashes, code version, method-specific resources, or uncertainty remain explicit. 247,440 source-report bytes produce 58 deterministic core files and 103,789 total bytes in 0.012 s at 21,643,264-byte peak RSS. Replay is byte-identical outside audit.json. Raw/cache/signal reads, model runs, network fetches, and holdout reopenings are zero. Evidence: docs/LOOP_18_VERSIONED_REPORT_CARDS.md</x:v>
      </x:c>
      <x:c r="S19" s="16" t="n">
        <x:f>IF(K19="Done",1,IF(K19="Review",0.8,IF(K19="In Progress",0.5,IF(K19="Blocked",0.2,IF(K19="Parked",0.1,0)))))</x:f>
        <x:v>1</x:v>
      </x:c>
      <x:c r="T19" s="14" t="str">
        <x:f>IF(K19="Blocked","Fix blocker",IF(K19="Review","Review/merge",IF(K19="Parked","Parked",IF(AND(L19="P0",K19="Not Started"),"Next candidate",IF(K19="Done","Closed","Normal")))))</x:f>
        <x:v>Closed</x:v>
      </x:c>
    </x:row>
    <x:row r="20" ht="195" customHeight="1">
      <x:c r="A20" s="14" t="n">
        <x:v>19</x:v>
      </x:c>
      <x:c r="B20" s="14" t="str">
        <x:v>Expansion</x:v>
      </x:c>
      <x:c r="C20" s="14" t="str">
        <x:v>EEG / MOABB Bridge</x:v>
      </x:c>
      <x:c r="D20" s="14" t="str">
        <x:v>Can the same tooling support easier-to-access EEG without pretending it will match MEG?</x:v>
      </x:c>
      <x:c r="E20" s="14" t="str">
        <x:v>Add optional adapter for a small public EEG benchmark or MOABB-style dataset path.</x:v>
      </x:c>
      <x:c r="F20" s="14" t="str">
        <x:v>Comparison note: what transfers and what does not.</x:v>
      </x:c>
      <x:c r="G20" s="14" t="str">
        <x:v>Synthetic first; optional MOABB dataset.</x:v>
      </x:c>
      <x:c r="H20" s="14" t="str">
        <x:v>Dataset adapter interface.</x:v>
      </x:c>
      <x:c r="I20" s="14" t="str">
        <x:v>time to first EEG batch; baseline sanity score.</x:v>
      </x:c>
      <x:c r="J20" s="14" t="str">
        <x:v>Bridge is optional and clearly labeled exploratory.</x:v>
      </x:c>
      <x:c r="K20" s="14" t="str">
        <x:v>Done</x:v>
      </x:c>
      <x:c r="L20" s="14" t="str">
        <x:v>P3</x:v>
      </x:c>
      <x:c r="M20" s="14" t="str">
        <x:v>Codex</x:v>
      </x:c>
      <x:c r="N20" s="14" t="str">
        <x:v>L</x:v>
      </x:c>
      <x:c r="O20" s="14" t="str">
        <x:v>Loops 4-8 stable</x:v>
      </x:c>
      <x:c r="P20" s="14" t="str">
        <x:v>Medium</x:v>
      </x:c>
      <x:c r="Q20" s="14" t="str">
        <x:v>Explore an EEG adapter only after the core MEG loop is stable; keep claims conservative.</x:v>
      </x:c>
      <x:c r="R20" s="14" t="str">
        <x:v>Closed 2026-07-10. Metadata gate passed 13/13; pinned S7 bundle: 4 files / 94,842,381 bytes. Lazy extraction matched 2,534/2,534 triggers at 2.024 ms median residual and wrote a 12,428,800-byte 2197 x 61 x 25 cache. Template/prior label accuracy: 0.009091/0.122727; paired delta interval [-0.134545,-0.093636]. MOABB parked; no new dependency or full EEG tree; EEG/MEG separate. Evidence: docs/LOOP_19_EEG_BRAINVISION_BRIDGE.md</x:v>
      </x:c>
      <x:c r="S20" s="16" t="n">
        <x:f>IF(K20="Done",1,IF(K20="Review",0.8,IF(K20="In Progress",0.5,IF(K20="Blocked",0.2,IF(K20="Parked",0.1,0)))))</x:f>
        <x:v>1</x:v>
      </x:c>
      <x:c r="T20" s="14" t="str">
        <x:f>IF(K20="Blocked","Fix blocker",IF(K20="Review","Review/merge",IF(K20="Parked","Parked",IF(AND(L20="P0",K20="Not Started"),"Next candidate",IF(K20="Done","Closed","Normal")))))</x:f>
        <x:v>Closed</x:v>
      </x:c>
    </x:row>
    <x:row r="21" ht="202.5" customHeight="1">
      <x:c r="A21" s="14" t="n">
        <x:v>20</x:v>
      </x:c>
      <x:c r="B21" s="14" t="str">
        <x:v>Expansion</x:v>
      </x:c>
      <x:c r="C21" s="14" t="str">
        <x:v>Neurotokens / v2-ready Interface</x:v>
      </x:c>
      <x:c r="D21" s="14" t="str">
        <x:v>Can we design a future interface for neural embeddings without depending on unreleased data?</x:v>
      </x:c>
      <x:c r="E21" s="14" t="str">
        <x:v>Add placeholder `NeuroTokenCache` interface and synthetic embedding demo.</x:v>
      </x:c>
      <x:c r="F21" s="14" t="str">
        <x:v>Architecture note: raw windows → features → neurotokens → decoder.</x:v>
      </x:c>
      <x:c r="G21" s="14" t="str">
        <x:v>Synthetic embeddings; future real embeddings.</x:v>
      </x:c>
      <x:c r="H21" s="14" t="str">
        <x:v>Feature extractor interface + mock neurotokens.</x:v>
      </x:c>
      <x:c r="I21" s="14" t="str">
        <x:v>interface stability; demo compatibility.</x:v>
      </x:c>
      <x:c r="J21" s="14" t="str">
        <x:v>No v2-data assumptions; interface can ingest embeddings later.</x:v>
      </x:c>
      <x:c r="K21" s="14" t="str">
        <x:v>Done</x:v>
      </x:c>
      <x:c r="L21" s="14" t="str">
        <x:v>P2</x:v>
      </x:c>
      <x:c r="M21" s="14" t="str">
        <x:v>Codex</x:v>
      </x:c>
      <x:c r="N21" s="14" t="str">
        <x:v>M</x:v>
      </x:c>
      <x:c r="O21" s="14" t="str">
        <x:v>Loops 8,13,18</x:v>
      </x:c>
      <x:c r="P21" s="14" t="str">
        <x:v>Medium</x:v>
      </x:c>
      <x:c r="Q21" s="14" t="str">
        <x:v>Define NeuroTokenCache v0 as a small modality-aware interface over existing arrays and synthetic embeddings. Preserve timebase, channel geometry, masks, split membership, provenance, and resource accounting; assume no unreleased v2 data and train no larger model.</x:v>
      </x:c>
      <x:c r="R21" s="14" t="str">
        <x:v>Closed 2026-07-10. NeuroTokenCache v0 stores continuous [items,time,embedding] vectors with masks, timing, source identity, subject/session, modality, geometry availability, strict split/source hashes, resources, and explicit causality boundaries. A target-free synthetic projection wrote 48 x 16 x 32 float32 in 76,646 bytes under a 4-MiB cap; 553 valid frames; exact 37/4/7 split; payload replay SHA-256 82b478948bdcfd5b2d12643f9f912c192a8977c8f0554b9f073171cf6dfe2709. Zero model, training, real-data, or holdout reads. Not learned tokens, decoding value, or end-to-end streaming. Evidence: docs/LOOP_20_NEUROTOKEN_CACHE_V0.md</x:v>
      </x:c>
      <x:c r="S21" s="16" t="n">
        <x:f>IF(K21="Done",1,IF(K21="Review",0.8,IF(K21="In Progress",0.5,IF(K21="Blocked",0.2,IF(K21="Parked",0.1,0)))))</x:f>
        <x:v>1</x:v>
      </x:c>
      <x:c r="T21" s="14" t="str">
        <x:f>IF(K21="Blocked","Fix blocker",IF(K21="Review","Review/merge",IF(K21="Parked","Parked",IF(AND(L21="P0",K21="Not Started"),"Next candidate",IF(K21="Done","Closed","Normal")))))</x:f>
        <x:v>Closed</x:v>
      </x:c>
    </x:row>
  </x:sheetData>
  <x:conditionalFormatting sqref="K2:K200">
    <x:cfRule type="expression" dxfId="0" priority="1">
      <x:formula>K2="Blocked"</x:formula>
    </x:cfRule>
    <x:cfRule type="expression" dxfId="1" priority="2">
      <x:formula>K2="Done"</x:formula>
    </x:cfRule>
    <x:cfRule type="expression" dxfId="2" priority="3">
      <x:formula>K2="In Progress"</x:formula>
    </x:cfRule>
    <x:cfRule type="expression" dxfId="3" priority="4">
      <x:formula>K2="Review"</x:formula>
    </x:cfRule>
  </x:conditionalFormatting>
  <x:conditionalFormatting sqref="S2:S21">
    <x:cfRule type="dataBar" priority="5">
      <x:dataBar>
        <x:cfvo type="min"/>
        <x:cfvo type="max"/>
        <x:color rgb="FF1F4E78"/>
      </x:dataBar>
      <x:extLst>
        <x:ext xmlns:x14="http://schemas.microsoft.com/office/spreadsheetml/2009/9/main" uri="{B025F937-C7B1-47D3-B67F-A62EFF666E3E}">
          <x14:id>{581B661A-CD74-555C-A393-DCD44A232943}</x14:id>
        </x:ext>
      </x:extLst>
    </x:cfRule>
  </x:conditionalFormatting>
  <x:dataValidations count="5">
    <x:dataValidation type="list" sqref="K2:K200">
      <x:formula1>"Not Started,In Progress,Review,Blocked,Done,Parked"</x:formula1>
    </x:dataValidation>
    <x:dataValidation type="list" sqref="L2:L200">
      <x:formula1>"P0,P1,P2,P3"</x:formula1>
    </x:dataValidation>
    <x:dataValidation type="list" sqref="M2:M200">
      <x:formula1>"Cheick,Codex,GPT,TBD"</x:formula1>
    </x:dataValidation>
    <x:dataValidation type="list" sqref="N2:N200">
      <x:formula1>"XS,S,M,L,XL"</x:formula1>
    </x:dataValidation>
    <x:dataValidation type="list" sqref="P2:P200">
      <x:formula1>"Low,Medium,High,Spike"</x:formula1>
    </x:dataValidation>
  </x:dataValidations>
  <x:pageMargins left="0.7" right="0.7" top="0.75" bottom="0.75" header="0.3" footer="0.3"/>
  <x:tableParts count="1">
    <x:tablePart xmlns:r="http://schemas.openxmlformats.org/officeDocument/2006/relationships" r:id="Rf226df55c0204a9c"/>
  </x:tableParts>
  <x:extLst>
    <x:ext xmlns:x14="http://schemas.microsoft.com/office/spreadsheetml/2009/9/main" xmlns:xm="http://schemas.microsoft.com/office/excel/2006/main" uri="{78C0D931-6437-407d-A8EE-F0AAD7539E65}">
      <x14:conditionalFormattings>
        <x14:conditionalFormatting>
          <x14:cfRule type="dataBar" priority="5" id="{581B661A-CD74-555C-A393-DCD44A232943}">
            <x14:dataBar gradient="1">
              <x14:cfvo type="min"/>
              <x14:cfvo type="max"/>
              <x14:fillColor rgb="FF1F4E78"/>
            </x14:dataBar>
          </x14:cfRule>
          <xm:sqref>S2:S21</xm:sqref>
        </x14:conditionalFormatting>
      </x14:conditionalFormattings>
    </x:ext>
  </x:extLst>
</x:worksheet>
</file>

<file path=xl/worksheets/sheet3.xml><?xml version="1.0" encoding="utf-8"?>
<x:worksheet xmlns:x="http://schemas.openxmlformats.org/spreadsheetml/2006/main">
  <x:sheetFormatPr defaultRowHeight="15"/>
  <x:cols>
    <x:col min="1" max="1" width="4.130000114440918" hidden="0" customWidth="1"/>
    <x:col min="2" max="2" width="6.380000114440918" hidden="0" customWidth="1"/>
    <x:col min="3" max="3" width="8.630000114440918" hidden="0" customWidth="1"/>
    <x:col min="4" max="4" width="40" hidden="0" customWidth="1"/>
    <x:col min="5" max="5" width="36" hidden="0" customWidth="1"/>
    <x:col min="6" max="6" width="9.25" hidden="0" customWidth="1"/>
    <x:col min="7" max="7" width="7.5" hidden="0" customWidth="1"/>
    <x:col min="8" max="8" width="10.130000114440918" hidden="0" customWidth="1"/>
    <x:col min="9" max="9" width="32" hidden="0" customWidth="1"/>
  </x:cols>
  <x:sheetData>
    <x:row r="1" ht="30" customHeight="1">
      <x:c r="A1" s="6" t="str">
        <x:v>Date</x:v>
      </x:c>
      <x:c r="B1" s="6" t="str">
        <x:v>Loop ID</x:v>
      </x:c>
      <x:c r="C1" s="6" t="str">
        <x:v>Decision</x:v>
      </x:c>
      <x:c r="D1" s="6" t="str">
        <x:v>Rationale</x:v>
      </x:c>
      <x:c r="E1" s="6" t="str">
        <x:v>Evidence / Link</x:v>
      </x:c>
      <x:c r="F1" s="6" t="str">
        <x:v>Reversible?</x:v>
      </x:c>
      <x:c r="G1" s="6" t="str">
        <x:v>Owner</x:v>
      </x:c>
      <x:c r="H1" s="6" t="str">
        <x:v>Next Review</x:v>
      </x:c>
      <x:c r="I1" s="6" t="str">
        <x:v>Notes</x:v>
      </x:c>
    </x:row>
    <x:row r="2" ht="39.599998474121094" hidden="0" customHeight="1">
      <x:c r="A2" s="37" t="str">
        <x:v>2026-06-29</x:v>
      </x:c>
      <x:c r="B2" s="12" t="n">
        <x:v>1</x:v>
      </x:c>
      <x:c r="C2" s="12" t="str">
        <x:v>Proceed</x:v>
      </x:c>
      <x:c r="D2" s="12" t="str">
        <x:v>Loop 1 synthetic smoke acceptance gate met; proceed to Loop 2.</x:v>
      </x:c>
      <x:c r="E2" s="12" t="str">
        <x:v>docs/LOOP_01_PR1_CLOSEOUT_SMOKE.md</x:v>
      </x:c>
      <x:c r="F2" s="12" t="str">
        <x:v>Yes</x:v>
      </x:c>
      <x:c r="G2" s="12" t="str">
        <x:v>Codex</x:v>
      </x:c>
      <x:c r="H2" s="12" t="str">
        <x:v>Loop 2</x:v>
      </x:c>
      <x:c r="I2" s="12"/>
    </x:row>
    <x:row r="3" ht="39.599998474121094" hidden="0" customHeight="1">
      <x:c r="A3" s="37" t="str">
        <x:v>2026-06-29</x:v>
      </x:c>
      <x:c r="B3" s="12" t="n">
        <x:v>2</x:v>
      </x:c>
      <x:c r="C3" s="12" t="str">
        <x:v>Proceed</x:v>
      </x:c>
      <x:c r="D3" s="12" t="str">
        <x:v>Manifest v1 acceptance gate met; proceed to safe tiny-shard selector.</x:v>
      </x:c>
      <x:c r="E3" s="12" t="str">
        <x:v>docs/LOOP_02_SPANISHBCBL_MANIFEST_V1.md</x:v>
      </x:c>
      <x:c r="F3" s="12" t="str">
        <x:v>Yes</x:v>
      </x:c>
      <x:c r="G3" s="12" t="str">
        <x:v>Codex</x:v>
      </x:c>
      <x:c r="H3" s="12" t="str">
        <x:v>Loop 3</x:v>
      </x:c>
      <x:c r="I3" s="12"/>
    </x:row>
    <x:row r="4" ht="39.599998474121094" hidden="0" customHeight="1">
      <x:c r="A4" s="37" t="str">
        <x:v>2026-06-29</x:v>
      </x:c>
      <x:c r="B4" s="12" t="n">
        <x:v>3</x:v>
      </x:c>
      <x:c r="C4" s="12" t="str">
        <x:v>Proceed</x:v>
      </x:c>
      <x:c r="D4" s="12" t="str">
        <x:v>Safe tiny-shard selector acceptance gate met; proceed to cache schema v0.</x:v>
      </x:c>
      <x:c r="E4" s="12" t="str">
        <x:v>docs/LOOP_03_SAFE_TINY_SHARD_SELECTOR.md</x:v>
      </x:c>
      <x:c r="F4" s="12" t="str">
        <x:v>Yes</x:v>
      </x:c>
      <x:c r="G4" s="12" t="str">
        <x:v>Codex</x:v>
      </x:c>
      <x:c r="H4" s="12" t="str">
        <x:v>Loop 4</x:v>
      </x:c>
      <x:c r="I4" s="12" t="str">
        <x:v>Download remains dry-run by default; --execute with unknown sizes requires --allow-unknown-size.</x:v>
      </x:c>
    </x:row>
    <x:row r="5" ht="39.599998474121094" hidden="0" customHeight="1">
      <x:c r="A5" s="37" t="str">
        <x:v>2026-06-29</x:v>
      </x:c>
      <x:c r="B5" s="12" t="n">
        <x:v>4</x:v>
      </x:c>
      <x:c r="C5" s="12" t="str">
        <x:v>Proceed</x:v>
      </x:c>
      <x:c r="D5" s="12" t="str">
        <x:v>Cache schema v0 acceptance gate met; proceed to metrics and error reporting.</x:v>
      </x:c>
      <x:c r="E5" s="12" t="str">
        <x:v>docs/LOOP_04_B2Q_MINI_CACHE_V0.md</x:v>
      </x:c>
      <x:c r="F5" s="12" t="str">
        <x:v>Yes</x:v>
      </x:c>
      <x:c r="G5" s="12" t="str">
        <x:v>Codex</x:v>
      </x:c>
      <x:c r="H5" s="12" t="str">
        <x:v>Loop 5</x:v>
      </x:c>
      <x:c r="I5" s="12" t="str">
        <x:v>Reports should build on load_npz_cache so synthetic and real caches share one contract.</x:v>
      </x:c>
    </x:row>
    <x:row r="6" ht="39.599998474121094" hidden="0" customHeight="1">
      <x:c r="A6" s="37" t="str">
        <x:v>2026-07-01</x:v>
      </x:c>
      <x:c r="B6" s="12" t="n">
        <x:v>5</x:v>
      </x:c>
      <x:c r="C6" s="12" t="str">
        <x:v>Proceed</x:v>
      </x:c>
      <x:c r="D6" s="12" t="str">
        <x:v>Metrics/error report v1 acceptance gate met; proceed to LM-only / prior-only baseline.</x:v>
      </x:c>
      <x:c r="E6" s="12" t="str">
        <x:v>docs/LOOP_05_METRICS_ERROR_REPORT_V1.md</x:v>
      </x:c>
      <x:c r="F6" s="12" t="str">
        <x:v>Yes</x:v>
      </x:c>
      <x:c r="G6" s="12" t="str">
        <x:v>Codex</x:v>
      </x:c>
      <x:c r="H6" s="12" t="str">
        <x:v>Loop 6</x:v>
      </x:c>
      <x:c r="I6" s="12" t="str">
        <x:v>Identity-smoke report verifies plumbing only; no neural/model performance claimed.</x:v>
      </x:c>
    </x:row>
    <x:row r="7" ht="39.599998474121094" hidden="0" customHeight="1">
      <x:c r="A7" s="37" t="str">
        <x:v>2026-07-01</x:v>
      </x:c>
      <x:c r="B7" s="12" t="n">
        <x:v>6</x:v>
      </x:c>
      <x:c r="C7" s="12" t="str">
        <x:v>Proceed</x:v>
      </x:c>
      <x:c r="D7" s="12" t="str">
        <x:v>Prior-only baseline acceptance gate met; proceed to template / nearest-centroid baseline.</x:v>
      </x:c>
      <x:c r="E7" s="12" t="str">
        <x:v>docs/LOOP_06_LM_PRIOR_BASELINE.md</x:v>
      </x:c>
      <x:c r="F7" s="12" t="str">
        <x:v>Yes</x:v>
      </x:c>
      <x:c r="G7" s="12" t="str">
        <x:v>Codex</x:v>
      </x:c>
      <x:c r="H7" s="12" t="str">
        <x:v>Loop 7</x:v>
      </x:c>
      <x:c r="I7" s="12" t="str">
        <x:v>No neural signal used; fit-on-eval mode is smoke-only unless separate train labels are supplied.</x:v>
      </x:c>
    </x:row>
    <x:row r="8" ht="39.599998474121094" hidden="0" customHeight="1">
      <x:c r="A8" s="37" t="str">
        <x:v>2026-07-01</x:v>
      </x:c>
      <x:c r="B8" s="12" t="n">
        <x:v>7</x:v>
      </x:c>
      <x:c r="C8" s="12" t="str">
        <x:v>Proceed</x:v>
      </x:c>
      <x:c r="D8" s="12" t="str">
        <x:v>Template / nearest-centroid baseline acceptance gate met; proceed to tiny Conv / EEGNet-style baseline.</x:v>
      </x:c>
      <x:c r="E8" s="12" t="str">
        <x:v>docs/LOOP_07_TEMPLATE_BASELINE.md</x:v>
      </x:c>
      <x:c r="F8" s="12" t="str">
        <x:v>Yes</x:v>
      </x:c>
      <x:c r="G8" s="12" t="str">
        <x:v>Codex</x:v>
      </x:c>
      <x:c r="H8" s="12" t="str">
        <x:v>Loop 8</x:v>
      </x:c>
      <x:c r="I8" s="12" t="str">
        <x:v>Uses neural windows but no deep learning; perfect synthetic score is expected from toy class bumps.</x:v>
      </x:c>
    </x:row>
    <x:row r="9" ht="39.599998474121094" hidden="0" customHeight="1">
      <x:c r="A9" s="37" t="str">
        <x:v>2026-07-01</x:v>
      </x:c>
      <x:c r="B9" s="12" t="n">
        <x:v>8</x:v>
      </x:c>
      <x:c r="C9" s="12" t="str">
        <x:v>Proceed</x:v>
      </x:c>
      <x:c r="D9" s="12" t="str">
        <x:v>Tiny Conv baseline acceptance gate met for optional-ML scaffold; proceed to CTC character-decoder scaffold.</x:v>
      </x:c>
      <x:c r="E9" s="12" t="str">
        <x:v>docs/LOOP_08_TINY_CONV_BASELINE.md</x:v>
      </x:c>
      <x:c r="F9" s="12" t="str">
        <x:v>Yes</x:v>
      </x:c>
      <x:c r="G9" s="12" t="str">
        <x:v>Codex</x:v>
      </x:c>
      <x:c r="H9" s="12" t="str">
        <x:v>Loop 9</x:v>
      </x:c>
      <x:c r="I9" s="12" t="str">
        <x:v>Torch not installed locally; training smoke tests are present and skipped until .[ml] is available.</x:v>
      </x:c>
    </x:row>
    <x:row r="10" ht="105.5999984741211" hidden="0" customHeight="1">
      <x:c r="A10" s="37" t="str">
        <x:v>2026-07-10</x:v>
      </x:c>
      <x:c r="B10" s="12" t="str">
        <x:v>8.5</x:v>
      </x:c>
      <x:c r="C10" s="12" t="str">
        <x:v>Proceed to a resource-bounded continuous-sentence CTC scaffold.</x:v>
      </x:c>
      <x:c r="D10" s="12" t="str">
        <x:v>S21 block1 gives a strict 66/66 identity trial mapping, while the official v2 architecture confirms continuous-window CTC is the next decoder layer.</x:v>
      </x:c>
      <x:c r="E10" s="12" t="str">
        <x:v>docs/REAL_DATA_VALIDATION_2026-07-10.md</x:v>
      </x:c>
      <x:c r="F10" s="12" t="str">
        <x:v>Yes</x:v>
      </x:c>
      <x:c r="G10" s="12" t="str">
        <x:v>Codex</x:v>
      </x:c>
      <x:c r="H10" s="12" t="str">
        <x:v>Loop 9</x:v>
      </x:c>
      <x:c r="I10" s="12" t="str">
        <x:v>Gate cleared for one real block only. Official v2 English data remains embargoed; local work is a SpanishBCBL surrogate, not a reproduction. Sources: https://github.com/facebookresearch/brain2qwerty and https://facebookresearch.github.io/brain2qwerty/assets/brain2qwerty_v2.pdf</x:v>
      </x:c>
    </x:row>
    <x:row r="11" ht="52.79999923706055" hidden="0" customHeight="1">
      <x:c r="A11" s="37" t="str">
        <x:v>2026-07-10</x:v>
      </x:c>
      <x:c r="B11" s="12" t="n">
        <x:v>9</x:v>
      </x:c>
      <x:c r="C11" s="12" t="str">
        <x:v>Proceed</x:v>
      </x:c>
      <x:c r="D11" s="12" t="str">
        <x:v>Sentence-cache v0, synthetic CTC, 20-seed stability, no-brain comparison, and the real S21 resource smoke satisfy Loop 9 without inventing a real model score.</x:v>
      </x:c>
      <x:c r="E11" s="12" t="str">
        <x:v>docs/LOOP_09_CONTINUOUS_SENTENCE_CTC.md</x:v>
      </x:c>
      <x:c r="F11" s="12" t="str">
        <x:v>Yes</x:v>
      </x:c>
      <x:c r="G11" s="12" t="str">
        <x:v>Codex</x:v>
      </x:c>
      <x:c r="H11" s="12" t="str">
        <x:v>Loop 10</x:v>
      </x:c>
      <x:c r="I11" s="12" t="str">
        <x:v>Real cache: 66x16x617, 1.6 MB, 6.24 sec, about 515 MiB peak RSS. Synthetic eval CER 0.0 vs prior CER 0.7068. Next: 100/50/25 Hz extraction sweep.</x:v>
      </x:c>
    </x:row>
    <x:row r="12" ht="171.60000610351562" hidden="0" customHeight="1">
      <x:c r="A12" s="37" t="str">
        <x:v>2026-07-10</x:v>
      </x:c>
      <x:c r="B12" s="12" t="n">
        <x:v>10</x:v>
      </x:c>
      <x:c r="C12" s="12" t="str">
        <x:v>Proceed without rate selection</x:v>
      </x:c>
      <x:c r="D12" s="12" t="str">
        <x:v>The isolated 100/50/25 Hz resource and CTC-length gate is complete; lower rates shrink caches but remove bandwidth, and the official temporal reducer is structurally incompatible with 25 Hz on this block.</x:v>
      </x:c>
      <x:c r="E12" s="12" t="str">
        <x:v>docs/LOOP_10_SAMPLING_RATE_SWEEP.md</x:v>
      </x:c>
      <x:c r="F12" s="12" t="str">
        <x:v>Yes</x:v>
      </x:c>
      <x:c r="G12" s="12" t="str">
        <x:v>Codex</x:v>
      </x:c>
      <x:c r="H12" s="12" t="str">
        <x:v>Loop 11</x:v>
      </x:c>
      <x:c r="I12" s="12" t="str">
        <x:v>Exact 66-row identity at all rates. Cache bytes: 1,663,209 / 846,334 / 431,451. Official v2 kernel16/stride4 feasibility: 66/66, 66/66, 0/66. No accuracy winner. Sources: https://github.com/facebookresearch/brain2qwerty/blob/3bf5a4099ca0d23bbe994b2287905760236e56e0/brain2qwerty_v2/config/model_config.py and https://github.com/facebookresearch/brain2qwerty/blob/3bf5a4099ca0d23bbe994b2287905760236e56e0/brain2qwerty_v2/utils.py</x:v>
      </x:c>
    </x:row>
    <x:row r="13" ht="171.60000610351562" hidden="0" customHeight="1">
      <x:c r="A13" s="37" t="n">
        <x:v>46213</x:v>
      </x:c>
      <x:c r="B13" s="12" t="n">
        <x:v>11</x:v>
      </x:c>
      <x:c r="C13" s="12" t="str">
        <x:v>Proceed with two sensor-selection candidates; no channel-count winner</x:v>
      </x:c>
      <x:c r="D13" s="12" t="str">
        <x:v>The resource/proxy gate passed, but spatial FPS and same-block variance optimize different evidence. Carry both into future held-out decoder evaluation and retain random/first controls.</x:v>
      </x:c>
      <x:c r="E13" s="12" t="str">
        <x:v>docs/LOOP_11_CHANNEL_SENSOR_SUBSET_SWEEP.md</x:v>
      </x:c>
      <x:c r="F13" s="12" t="str">
        <x:v>Yes</x:v>
      </x:c>
      <x:c r="G13" s="12" t="str">
        <x:v>Codex</x:v>
      </x:c>
      <x:c r="H13" s="12" t="str">
        <x:v>Loop 12</x:v>
      </x:c>
      <x:c r="I13" s="12" t="str">
        <x:v>Base: 102 magnetometers, 66x102x617, 10.1 MiB, 12.004 s, 1.6 GiB peak RSS. Twenty subsets used 70.3 MiB and exact identities passed. Official v2 retrained random 306-to-230/153/76 subsets; this local one-block proxy is not an accuracy reproduction. Sources: https://facebookresearch.github.io/brain2qwerty/assets/brain2qwerty_v2.pdf and https://github.com/facebookresearch/brain2qwerty/blob/3bf5a4099ca0d23bbe994b2287905760236e56e0/brain2qwerty_v2/config/model_config.py</x:v>
      </x:c>
    </x:row>
    <x:row r="14" ht="132" customHeight="1">
      <x:c r="A14" s="40" t="n">
        <x:v>46213</x:v>
      </x:c>
      <x:c r="B14" s="14" t="n">
        <x:v>12</x:v>
      </x:c>
      <x:c r="C14" s="14" t="str">
        <x:v>Proceed with qint16 and qint8 candidates; keep float32 default</x:v>
      </x:c>
      <x:c r="D14" s="14" t="str">
        <x:v>All 15 representations preserve exact semantic identity with no source values outside the fixed range. Qint16 is the lowest-distortion packed candidate and qint8 is the smallest; no decoder was evaluated.</x:v>
      </x:c>
      <x:c r="E14" s="14" t="str">
        <x:v>docs/LOOP_12_PRECISION_STORAGE_SWEEP.md</x:v>
      </x:c>
      <x:c r="F14" s="14" t="str">
        <x:v>Yes</x:v>
      </x:c>
      <x:c r="G14" s="14" t="str">
        <x:v>Codex</x:v>
      </x:c>
      <x:c r="H14" s="14" t="str">
        <x:v>Loop 13/14</x:v>
      </x:c>
      <x:c r="I14" s="14" t="str">
        <x:v>Qint16: 49.84% smaller, worst relative RMSE 0.003693%. Qint8: 80.75% smaller, worst relative RMSE 0.9531%. Packed caches decode to float32, so this is not integer-only inference or retained accuracy. Sources: https://facebookresearch.github.io/brain2qwerty/assets/brain2qwerty_v2.pdf and https://arxiv.org/abs/1905.12322</x:v>
      </x:c>
    </x:row>
    <x:row r="15" ht="96" customHeight="1">
      <x:c r="A15" s="37" t="n">
        <x:v>46213</x:v>
      </x:c>
      <x:c r="B15" s="12" t="n">
        <x:v>13</x:v>
      </x:c>
      <x:c r="C15" s="12" t="str">
        <x:v>Park optional Zarr; proceed to Loop 14</x:v>
      </x:c>
      <x:c r="D15" s="12" t="str">
        <x:v>Nine current real standard/packed caches passed exact decoded-signal identity and declared time, memory, and size budgets. Partial NPZ reads are inefficient but not a material current bottleneck.</x:v>
      </x:c>
      <x:c r="E15" s="12" t="str">
        <x:v>docs/LOOP_13_LAZY_BACKEND_GATE.md</x:v>
      </x:c>
      <x:c r="F15" s="12" t="str">
        <x:v>Yes</x:v>
      </x:c>
      <x:c r="G15" s="12" t="str">
        <x:v>Codex</x:v>
      </x:c>
      <x:c r="H15" s="12" t="str">
        <x:v>Loop 14 / threshold trigger</x:v>
      </x:c>
      <x:c r="I15" s="12" t="str">
        <x:v>Largest cache 10.1 MiB; slowest full/partial medians 60.386/53.634 ms; highest worker RSS 140.6 MiB. One-row member amplification 66x. Zarr not installed. Sources: https://numpy.org/doc/stable/reference/generated/numpy.savez_compressed.html and https://zarr-specs.readthedocs.io/en/latest/v3/chunk-grids/regular-grid/</x:v>
      </x:c>
    </x:row>
    <x:row r="16" ht="108" customHeight="1">
      <x:c r="A16" s="37" t="n">
        <x:v>46213</x:v>
      </x:c>
      <x:c r="B16" s="12" t="n">
        <x:v>14</x:v>
      </x:c>
      <x:c r="C16" s="12" t="str">
        <x:v>Close strict split protocol; keep tiny CTC conclusion near-null</x:v>
      </x:c>
      <x:c r="D16" s="12" t="str">
        <x:v>Train-only scaling and exact report binding pass. Tiny CTC improves by one character edit on five test rows, but poor train fit and a paired interval crossing zero do not show neural advantage.</x:v>
      </x:c>
      <x:c r="E16" s="12" t="str">
        <x:v>docs/LOOP_14_SPLIT_PROTOCOL_V1.md</x:v>
      </x:c>
      <x:c r="F16" s="12" t="str">
        <x:v>Yes</x:v>
      </x:c>
      <x:c r="G16" s="12" t="str">
        <x:v>Codex</x:v>
      </x:c>
      <x:c r="H16" s="12" t="str">
        <x:v>Capped second-session data gate</x:v>
      </x:c>
      <x:c r="I16" s="12" t="str">
        <x:v>55/6/5 rows. Prior/tiny CER 0.953488/0.947674. Delta -0.005814; bootstrap CI [-0.197279, 0.130653]; wins/ties/losses 2/0/3. No session, subject, real-time, or thought-reading claim. Source: https://facebookresearch.github.io/brain2qwerty/assets/brain2qwerty_v2.pdf</x:v>
      </x:c>
    </x:row>
    <x:row r="17" ht="112" customHeight="1">
      <x:c r="A17" s="37" t="n">
        <x:v>46213</x:v>
      </x:c>
      <x:c r="B17" s="12" t="n">
        <x:v>15</x:v>
      </x:c>
      <x:c r="C17" s="12" t="str">
        <x:v>Freeze session 2 after the fixed cross-session baseline fails</x:v>
      </x:c>
      <x:c r="D17" s="12" t="str">
        <x:v>The complete session-2 acquisition, nonempty-MAT trial map, and frozen source-train scaler pass. The unchanged tiny CTC is materially worse than the no-signal prior, so session 2 is consumed evaluation data rather than an adapter tuning set.</x:v>
      </x:c>
      <x:c r="E17" s="12" t="str">
        <x:v>docs/LOOP_15_SAME_SUBJECT_CROSS_SESSION.md</x:v>
      </x:c>
      <x:c r="F17" s="12" t="str">
        <x:v>Yes</x:v>
      </x:c>
      <x:c r="G17" s="12" t="str">
        <x:v>Codex</x:v>
      </x:c>
      <x:c r="H17" s="12" t="str">
        <x:v>Synthetic adapter gate / pre-registered holdout</x:v>
      </x:c>
      <x:c r="I17" s="12" t="str">
        <x:v>Pinned acquisition: 2,516,384,765 bytes, one worker. MAT gaps [54,58,60]. Source 55 train; 6 validation and 5 test unused. Session-2 rows 63. Tiny/prior CER 0.917949/0.775458; delta +0.142491; paired CI [+0.119386,+0.166069]; wins/ties/losses 3/2/58. Dataset: https://huggingface.co/datasets/bcbl190626/SpanishBCBL</x:v>
      </x:c>
    </x:row>
    <x:row r="18" ht="96" customHeight="1">
      <x:c r="A18" s="40" t="n">
        <x:v>46213</x:v>
      </x:c>
      <x:c r="B18" s="14" t="n">
        <x:v>15</x:v>
      </x:c>
      <x:c r="C18" s="14" t="str">
        <x:v>Close Loop 15 after the bounded synthetic adapter mechanism gate passes</x:v>
      </x:c>
      <x:c r="D18" s="14" t="str">
        <x:v>A zero-parameter robust channel-affine adapter reverses the registered diagonal gain/offset shift under validation-only selection. This establishes the mechanism and implementation path without reopening real evaluation data.</x:v>
      </x:c>
      <x:c r="E18" s="14" t="str">
        <x:v>docs/LOOP_15_STAGE_B_SYNTHETIC_ADAPTER.md</x:v>
      </x:c>
      <x:c r="F18" s="14" t="str">
        <x:v>Yes</x:v>
      </x:c>
      <x:c r="G18" s="14" t="str">
        <x:v>Codex</x:v>
      </x:c>
      <x:c r="H18" s="14" t="str">
        <x:v>Loop 16 calibration-size and non-diagonal stress study</x:v>
      </x:c>
      <x:c r="I18" s="14" t="str">
        <x:v>Synthetic 64/16/16 rows. Validation identity/adapted CER 0.327273/0; holdout identity/adapted/prior 0.344828/0/0.577586; paired interval [-0.408696,-0.286957]. Runtime 2.498 s, one thread, zero cache bytes. No real adapter-benefit claim. Sources: https://arxiv.org/abs/1603.04779 and https://doi.org/10.1109/TBME.2019.2913914</x:v>
      </x:c>
    </x:row>
    <x:row r="19" ht="96" customHeight="1">
      <x:c r="A19" s="40" t="n">
        <x:v>46213</x:v>
      </x:c>
      <x:c r="B19" s="14" t="n">
        <x:v>16</x:v>
      </x:c>
      <x:c r="C19" s="14" t="str">
        <x:v>Keep robust affine inside its measured stationary-diagonal scope</x:v>
      </x:c>
      <x:c r="D19" s="14" t="str">
        <x:v>The registered synthetic curve finds a small stationary-diagonal calibration point but static independent-channel statistics harm every channel-mixing and within-row-drift holdout seed.</x:v>
      </x:c>
      <x:c r="E19" s="14" t="str">
        <x:v>docs/LOOP_16_SYNTHETIC_CALIBRATION_CURVE.md</x:v>
      </x:c>
      <x:c r="F19" s="14" t="str">
        <x:v>Yes</x:v>
      </x:c>
      <x:c r="G19" s="14" t="str">
        <x:v>Codex</x:v>
      </x:c>
      <x:c r="H19" s="14" t="str">
        <x:v>Loop 17 honest demo plus a future synthetic covariance/causal drift gate</x:v>
      </x:c>
      <x:c r="I19" s="14" t="str">
        <x:v>Six sizes x three seeds x three shifts. Selected 1 synthetic row/1.26 s by median validation rule; stationary holdout identity/adapted CER 0.422414/0.232759 with one tie. Mixing 0.568966/0.862069; time drift 0.439655/0.603448. One thread, 1.897 s, 158,256 bytes, zero cache bytes. Sources: https://doi.org/10.1609/aaai.v30i1.10306 and https://doi.org/10.1186/1687-6180-2012-129</x:v>
      </x:c>
    </x:row>
    <x:row r="20">
      <x:c r="A20" s="37" t="n">
        <x:v>46213</x:v>
      </x:c>
      <x:c r="B20" s="12" t="n">
        <x:v>17</x:v>
      </x:c>
      <x:c r="C20" s="12" t="str">
        <x:v>Close the honest local demo and proceed to report-card standardization</x:v>
      </x:c>
      <x:c r="D20" s="12" t="str">
        <x:v>The console reproduces compact saved artifacts, exposes uncertainty and noncausal scope, and keeps real results aggregate-only. Browser interaction and responsive layout pass without opening either observed real holdout.</x:v>
      </x:c>
      <x:c r="E20" s="12" t="str">
        <x:v>docs/LOOP_17_HONEST_LOCAL_DEMO.md</x:v>
      </x:c>
      <x:c r="F20" s="12" t="str">
        <x:v>Yes</x:v>
      </x:c>
      <x:c r="G20" s="12" t="str">
        <x:v>Codex</x:v>
      </x:c>
      <x:c r="H20" s="12" t="str">
        <x:v>Loop 18 leaderboard + report cards</x:v>
      </x:c>
      <x:c r="I20" s="12" t="str">
        <x:v>19 synthetic examples; 27 UI components; 4 callbacks; 1.644 s startup; 224,837,632-byte peak RSS; 136,734-byte source cache. All 8 audit checks pass. 1440x1000 and 390x844 QA pass with no console errors. Gradio remains optional; demo dependency added about 178,756 KiB to the existing environment. Sources: https://www.gradio.app/docs/gradio/blocks and https://facebookresearch.github.io/brain2qwerty/</x:v>
      </x:c>
    </x:row>
    <x:row r="21" ht="94.5" customHeight="1">
      <x:c r="A21" s="37" t="n">
        <x:v>46213</x:v>
      </x:c>
      <x:c r="B21" s="12" t="n">
        <x:v>18</x:v>
      </x:c>
      <x:c r="C21" s="12" t="str">
        <x:v>Rank only inside exact evidence cohorts</x:v>
      </x:c>
      <x:c r="D21" s="12" t="str">
        <x:v>Eleven historical runs can be indexed without retraining, but event versus sentence, synthetic versus real, and held-out versus fit-on-eval results are not globally comparable. CER and WER also disagree in the cross-session cohort.</x:v>
      </x:c>
      <x:c r="E21" s="12" t="str">
        <x:v>docs/LOOP_18_VERSIONED_REPORT_CARDS.md</x:v>
      </x:c>
      <x:c r="F21" s="12" t="str">
        <x:v>Yes</x:v>
      </x:c>
      <x:c r="G21" s="12" t="str">
        <x:v>Codex</x:v>
      </x:c>
      <x:c r="H21" s="12" t="str">
        <x:v>Loop 19 bounded EEG bridge discovery gate</x:v>
      </x:c>
      <x:c r="I21" s="12" t="str">
        <x:v>11 cards; 6 cohorts; 4 ranked cohorts; 58 deterministic core files; 103,789 bytes; 0.012 s; 21,643,264-byte peak RSS; zero raw/cache/signal reads, model runs, network fetches, or holdout reopenings. Sources: https://research.google/pubs/model-cards-for-model-reporting/ ; https://mlflow.org/docs/latest/tracking/ ; https://facebookresearch.github.io/brain2qwerty/assets/brain2qwerty_v2.pdf</x:v>
      </x:c>
    </x:row>
    <x:row r="22" ht="106.5" customHeight="1">
      <x:c r="A22" s="37" t="n">
        <x:v>46213</x:v>
      </x:c>
      <x:c r="B22" s="12" t="n">
        <x:v>19</x:v>
      </x:c>
      <x:c r="C22" s="12" t="str">
        <x:v>Keep a native task-matched EEG bridge; record the first baseline as negative</x:v>
      </x:c>
      <x:c r="D22" s="12" t="str">
        <x:v>One pinned 94,842,381-byte BrainVision-plus-MAT bundle validates complete selection, exact trigger-code alignment, lazy extraction, and cache reuse without MOABB. The minimally processed nearest-centroid event classifier is worse than its train-only prior, so bridge success must not become a decoder or hardware claim.</x:v>
      </x:c>
      <x:c r="E22" s="12" t="str">
        <x:v>docs/LOOP_19_EEG_BRAINVISION_BRIDGE.md</x:v>
      </x:c>
      <x:c r="F22" s="12" t="str">
        <x:v>Yes</x:v>
      </x:c>
      <x:c r="G22" s="12" t="str">
        <x:v>Codex</x:v>
      </x:c>
      <x:c r="H22" s="12" t="str">
        <x:v>Loop 20 modality-aware NeuroTokenCache v0 contract</x:v>
      </x:c>
      <x:c r="I22" s="12" t="str">
        <x:v>2,534/2,534 trigger match; 2.024 ms median residual; 2,197 x 61 x 25 cache; 12,428,800 bytes; template/prior label accuracy 0.009091/0.122727; paired interval [-0.134545,-0.093636]. Sources: https://huggingface.co/datasets/bcbl190626/SpanishBCBL ; https://www.nature.com/articles/s41593-026-02303-2 ; https://github.com/facebookresearch/brain2qwerty/blob/3bf5a4099ca0d23bbe994b2287905760236e56e0/studies/spanishbcbl.py ; https://mne.tools/stable/generated/mne.io.read_raw_brainvision.html</x:v>
      </x:c>
    </x:row>
    <x:row r="23" ht="118.5" customHeight="1">
      <x:c r="A23" s="37" t="n">
        <x:v>46213</x:v>
      </x:c>
      <x:c r="B23" s="12" t="n">
        <x:v>20</x:v>
      </x:c>
      <x:c r="C23" s="12" t="str">
        <x:v>Make neurotokens a continuous interface before making them a model claim</x:v>
      </x:c>
      <x:c r="D23" s="12" t="str">
        <x:v>The public v2 encoder exposes time-major frame embeddings, but its reference path is noncausal and its English training data is unavailable. A target-free synthetic projection can validate shape, timing, provenance, split, geometry, resource, and serialization contracts without pretending the vectors are learned or useful for decoding.</x:v>
      </x:c>
      <x:c r="E23" s="12" t="str">
        <x:v>docs/LOOP_20_NEUROTOKEN_CACHE_V0.md</x:v>
      </x:c>
      <x:c r="F23" s="12" t="str">
        <x:v>Yes</x:v>
      </x:c>
      <x:c r="G23" s="12" t="str">
        <x:v>Codex</x:v>
      </x:c>
      <x:c r="H23" s="12" t="str">
        <x:v>Synthetic causal chunk/replay contract before a learned encoder or decoder</x:v>
      </x:c>
      <x:c r="I23" s="12" t="str">
        <x:v>48 x 16 x 32 float32; 553 valid frames; 76,646 bytes; 0.09 s; 44,564,480-byte peak RSS; exact 37/4/7 split; exact payload replay; zero model/training/real/holdout reads. Sources: https://github.com/facebookresearch/brain2qwerty/tree/3bf5a4099ca0d23bbe994b2287905760236e56e0/brain2qwerty_v2 ; https://facebookresearch.github.io/brain2qwerty/assets/brain2qwerty_v2.pdf ; https://papers.neurips.cc/paper_files/paper/2024/file/a64d53074d011e49af1dfc72c332fe4b-Paper-Datasets_and_Benchmarks_Track.pdf</x:v>
      </x:c>
    </x:row>
    <x:row r="24" ht="129" customHeight="1">
      <x:c r="A24" s="37" t="n">
        <x:v>46213</x:v>
      </x:c>
      <x:c r="B24" s="12" t="n">
        <x:v>21</x:v>
      </x:c>
      <x:c r="C24" s="12" t="str">
        <x:v>Separate causal frame production from transport and text latency</x:v>
      </x:c>
      <x:c r="D24" s="12" t="str">
        <x:v>Five registered synthetic chunk schedules preserve one bounded zero-lookahead frame stream, but transport scheduling still adds 0 to 610 ms and no decoder emits text. Producer causality, scheduling delay, decoder emission, and end-to-end latency therefore remain separate proof surfaces.</x:v>
      </x:c>
      <x:c r="E24" s="12" t="str">
        <x:v>docs/LOOP_21_CAUSAL_CHUNK_REPLAY.md</x:v>
      </x:c>
      <x:c r="F24" s="12" t="str">
        <x:v>Yes</x:v>
      </x:c>
      <x:c r="G24" s="12" t="str">
        <x:v>Codex</x:v>
      </x:c>
      <x:c r="H24" s="12" t="str">
        <x:v>Loop 22 tiny learned causal encoder on synthetic train rows only</x:v>
      </x:c>
      <x:c r="I24" s="12" t="str">
        <x:v>5/5 schedules; 553 frames; exact frame/timestamps; bitwise schedule payload 78dc8b5298064216caa854c884a69834c0959566d9ede903d44ae1cd28562389; max Loop 20 difference 9.536743e-7 under 1e-6 tolerance; zero right context; 300-byte state; 195,520-byte bounded working core; 0.135024 s; 46,301,184-byte peak RSS; no targets/models/training/decoder/real reads. Sources: https://facebookresearch.github.io/brain2qwerty/assets/brain2qwerty_v2.pdf ; https://ai.meta.com/research/publications/emformer-efficient-memory-transformer-based-acoustic-model-for-low-latency-streaming-speech-recognition/ ; https://research.google/pubs/fastemit-low-latency-streaming-asr-with-sequence-level-emission-regularization/</x:v>
      </x:c>
    </x:row>
    <x:row r="25" ht="108.75" customHeight="1">
      <x:c r="A25" s="37" t="n">
        <x:v>46213</x:v>
      </x:c>
      <x:c r="B25" s="12" t="n">
        <x:v>22</x:v>
      </x:c>
      <x:c r="C25" s="12" t="str">
        <x:v>Proceed to a separately preregistered streaming CTC decoder gate</x:v>
      </x:c>
      <x:c r="D25" s="12" t="str">
        <x:v>The 1,130-parameter synthetic causal encoder passes its frozen test and all five replay schedules without real data or text decoding.</x:v>
      </x:c>
      <x:c r="E25" s="12" t="str">
        <x:v>docs/LOOP_22_TINY_CAUSAL_ENCODER.md</x:v>
      </x:c>
      <x:c r="F25" s="12" t="str">
        <x:v>No</x:v>
      </x:c>
      <x:c r="G25" s="12" t="str">
        <x:v>Codex</x:v>
      </x:c>
      <x:c r="H25" s="12" t="str">
        <x:v>Loop 23</x:v>
      </x:c>
      <x:c r="I25" s="12" t="str">
        <x:v>Seed 2203 is consumed. Perfect generated-motif classification is a mechanism check, not neural or text decoding.</x:v>
      </x:c>
    </x:row>
    <x:row r="26" ht="108.75" customHeight="1">
      <x:c r="A26" s="37" t="n">
        <x:v>46213</x:v>
      </x:c>
      <x:c r="B26" s="12" t="n">
        <x:v>23</x:v>
      </x:c>
      <x:c r="C26" s="12" t="str">
        <x:v>Park after the frozen exact-sequence gate fails</x:v>
      </x:c>
      <x:c r="D26" s="12" t="str">
        <x:v>Validation passes, but the once-opened seed-2303 test reaches 5/8 exact below the required 6/8; every error is one false tail symbol.</x:v>
      </x:c>
      <x:c r="E26" s="12" t="str">
        <x:v>docs/LOOP_23_STREAMING_CTC_DECODER.md</x:v>
      </x:c>
      <x:c r="F26" s="12" t="str">
        <x:v>No</x:v>
      </x:c>
      <x:c r="G26" s="12" t="str">
        <x:v>Codex</x:v>
      </x:c>
      <x:c r="H26" s="12" t="str">
        <x:v>Fresh calibration preregistration</x:v>
      </x:c>
      <x:c r="I26" s="12" t="str">
        <x:v>Seed 2303 is consumed. Do not trim, tune, calibrate, or design an endpoint from its outputs.</x:v>
      </x:c>
    </x:row>
    <x:row r="27" ht="108.75" customHeight="1">
      <x:c r="A27" s="37" t="n">
        <x:v>46213</x:v>
      </x:c>
      <x:c r="B27" s="12" t="n">
        <x:v>23.5</x:v>
      </x:c>
      <x:c r="C27" s="12" t="str">
        <x:v>Close supervised synthetic calibration and proceed to Loop 24 preregistration only</x:v>
      </x:c>
      <x:c r="D27" s="12" t="str">
        <x:v>One preregistered train-frame blank intercept takes the once-opened seed-2353 test from 7/16 to 16/16 exact with CER 0, nine corrections, and zero regressions.</x:v>
      </x:c>
      <x:c r="E27" s="12" t="str">
        <x:v>docs/LOOP_23_5_BLANK_INTERCEPT_CALIBRATION.md</x:v>
      </x:c>
      <x:c r="F27" s="12" t="str">
        <x:v>No</x:v>
      </x:c>
      <x:c r="G27" s="12" t="str">
        <x:v>Codex</x:v>
      </x:c>
      <x:c r="H27" s="12" t="str">
        <x:v>Loop 24 preregistration</x:v>
      </x:c>
      <x:c r="I27" s="12" t="str">
        <x:v>Seed 2353 is consumed. Replay, calibration, control, bootstrap, access, and resource gates pass; this remains supervised synthetic evidence only.</x:v>
      </x:c>
    </x:row>
    <x:row r="28" ht="131.25" customHeight="1">
      <x:c r="A28" s="37" t="n">
        <x:v>46213</x:v>
      </x:c>
      <x:c r="B28" s="12" t="str">
        <x:v>RW0</x:v>
      </x:c>
      <x:c r="C28" s="12" t="str">
        <x:v>Add a parallel practice track and keep fresh EEG approval-gated</x:v>
      </x:c>
      <x:c r="D28" s="12" t="str">
        <x:v>A practical local workflow requires explicit dataset cohorts, sensor modalities, compatibility levels, privacy rules, and authorization boundaries before real intake or device work.</x:v>
      </x:c>
      <x:c r="E28" s="12" t="str">
        <x:v>docs/REAL_WORLD_PRACTICE_TRACK_RESEARCH.md</x:v>
      </x:c>
      <x:c r="F28" s="12" t="str">
        <x:v>Yes</x:v>
      </x:c>
      <x:c r="G28" s="12" t="str">
        <x:v>Codex</x:v>
      </x:c>
      <x:c r="H28" s="12" t="str">
        <x:v>RW1 metadata-only intake</x:v>
      </x:c>
      <x:c r="I28" s="12" t="str">
        <x:v>Eight dataset records and 13 device records are metadata only. S20 session 2 block 2 is an unapproved four-file 96,090,264-byte proposal. No raw, consumed-cache, target, model, training, or download access occurred.</x:v>
      </x:c>
    </x:row>
    <x:row r="29" ht="131.25" customHeight="1">
      <x:c r="A29" s="37" t="n">
        <x:v>46213</x:v>
      </x:c>
      <x:c r="B29" s="12" t="str">
        <x:v>RW1</x:v>
      </x:c>
      <x:c r="C29" s="12" t="str">
        <x:v>Close metadata-only local intake at compatibility level 0</x:v>
      </x:c>
      <x:c r="D29" s="12" t="str">
        <x:v>Six common format families now produce strict deterministic core reports and measured audit sidecars without binary signal, target, model, training, or network access.</x:v>
      </x:c>
      <x:c r="E29" s="12" t="str">
        <x:v>docs/RW1_METADATA_ONLY_LOCAL_INTAKE.md</x:v>
      </x:c>
      <x:c r="F29" s="12" t="str">
        <x:v>Yes</x:v>
      </x:c>
      <x:c r="G29" s="12" t="str">
        <x:v>Codex</x:v>
      </x:c>
      <x:c r="H29" s="12" t="str">
        <x:v>RW2 preregistration</x:v>
      </x:c>
      <x:c r="I29" s="12" t="str">
        <x:v>532-byte synthetic fixture; 11,545 output bytes; 0.001659 s; 21,643,264-byte peak RSS; 11 focused tests; no signal readability or decoding claim.</x:v>
      </x:c>
    </x:row>
    <x:row r="30" ht="131.25" customHeight="1">
      <x:c r="A30" s="37" t="n">
        <x:v>46213</x:v>
      </x:c>
      <x:c r="B30" s="12" t="str">
        <x:v>RW2</x:v>
      </x:c>
      <x:c r="C30" s="12" t="str">
        <x:v>Freeze bounded signal-quality protocol before implementation</x:v>
      </x:c>
      <x:c r="D30" s="12" t="str">
        <x:v>Primary-source review exposed BIDS sidecar imports, EEGLAB embedded-array preload risk, and mixed-rate EDF/BDF behavior; bind explicit synthetic-only adapters before code.</x:v>
      </x:c>
      <x:c r="E30" s="12" t="str">
        <x:v>docs/RW2_SIGNAL_QUALITY_PREREGISTRATION.md</x:v>
      </x:c>
      <x:c r="F30" s="12" t="str">
        <x:v>Yes</x:v>
      </x:c>
      <x:c r="G30" s="12" t="str">
        <x:v>Codex</x:v>
      </x:c>
      <x:c r="H30" s="12" t="str">
        <x:v>RW2 synthetic implementation</x:v>
      </x:c>
      <x:c r="I30" s="12" t="str">
        <x:v>Commit eacb231; six adapters; one thread; 32 MiB materialized arrays; 4 MiB/run; 16 MiB fixture/report set; zero real/signal/target/model/training/download access.</x:v>
      </x:c>
    </x:row>
    <x:row r="31" ht="96" customHeight="1">
      <x:c r="A31" s="37" t="n">
        <x:v>46213</x:v>
      </x:c>
      <x:c r="B31" s="12" t="str">
        <x:v>RW2</x:v>
      </x:c>
      <x:c r="C31" s="12" t="str">
        <x:v>Close exact synthetic compatibility level 2; preregister RW3 only</x:v>
      </x:c>
      <x:c r="D31" s="12" t="str">
        <x:v>All 38 authorized fixtures pass, both frozen refusals match, reader opens remain lazy, source/payload hashes are unchanged, and privacy/resource gates pass without real or target access.</x:v>
      </x:c>
      <x:c r="E31" s="12" t="str">
        <x:v>docs/RW2_SIGNAL_QUALITY_CLOSEOUT.md</x:v>
      </x:c>
      <x:c r="F31" s="12" t="str">
        <x:v>Yes</x:v>
      </x:c>
      <x:c r="G31" s="12" t="str">
        <x:v>Codex</x:v>
      </x:c>
      <x:c r="H31" s="12" t="str">
        <x:v>RW3 preregistration</x:v>
      </x:c>
      <x:c r="I31" s="12" t="str">
        <x:v>Measured FIF: 9 channels, 3 windows, 11,520 values, 92,160 materialized bytes, 76,592 output bytes, 3.839168 s, 150,749,184-byte peak RSS; no real/cache/target/model/training/network access; no real-quality or decoding claim.</x:v>
      </x:c>
    </x:row>
    <x:row r="32" ht="96" customHeight="1">
      <x:c r="A32" s="37" t="n">
        <x:v>46213</x:v>
      </x:c>
      <x:c r="B32" s="12" t="str">
        <x:v>OS1</x:v>
      </x:c>
      <x:c r="C32" s="12" t="str">
        <x:v>Prepare proof-first open-source contribution surface; review public default before release</x:v>
      </x:c>
      <x:c r="D32" s="12" t="str">
        <x:v>EEG owners need metadata-first contribution paths, maintainers need privacy/security/license controls, and the current public default branch is stale relative to the tested review branch.</x:v>
      </x:c>
      <x:c r="E32" s="12" t="str">
        <x:v>docs/OPEN_SOURCE_READINESS.md</x:v>
      </x:c>
      <x:c r="F32" s="12" t="str">
        <x:v>Yes</x:v>
      </x:c>
      <x:c r="G32" s="12" t="str">
        <x:v>Cheick</x:v>
      </x:c>
      <x:c r="H32" s="12" t="str">
        <x:v>Review branch and GitHub settings</x:v>
      </x:c>
      <x:c r="I32" s="12" t="str">
        <x:v>Apache-2.0 is provisional for original work; Brain2Qwerty/SpanishBCBL remain separately CC-BY-NC-4.0. History/data/Gitleaks checks pass. Description, topics, labels, issue forms, CI, and contribution docs are prepared.</x:v>
      </x:c>
    </x:row>
    <x:row r="33" ht="108" customHeight="1">
      <x:c r="A33" s="37" t="n">
        <x:v>46213</x:v>
      </x:c>
      <x:c r="B33" s="12" t="str">
        <x:v>RW3</x:v>
      </x:c>
      <x:c r="C33" s="12" t="str">
        <x:v>Freeze source-chunk and replay-equivalence protocol before code</x:v>
      </x:c>
      <x:c r="D33" s="12" t="str">
        <x:v>Primary sources expose regenerated playback time, separate clock correction, destructive timestamp postprocessing, and raw-versus-corrected XDF views; freeze exact semantics before one adapter abstraction.</x:v>
      </x:c>
      <x:c r="E33" s="12" t="str">
        <x:v>docs/RW3_REPLAY_LIVE_EQUIVALENCE_PREREGISTRATION.md</x:v>
      </x:c>
      <x:c r="F33" s="12" t="str">
        <x:v>Yes</x:v>
      </x:c>
      <x:c r="G33" s="12" t="str">
        <x:v>Codex</x:v>
      </x:c>
      <x:c r="H33" s="12" t="str">
        <x:v>Review and explicitly authorize Stage A only</x:v>
      </x:c>
      <x:c r="I33" s="12" t="str">
        <x:v>Commit c3d1f01; 5 schedules; 18 future target-free fixture families; 30 refusal IDs; 4 separately gated stages; 7 invariant tests; zero adapter/socket/stream/board/XDF/data/target/model/training access; no runtime or decoding claim.</x:v>
      </x:c>
    </x:row>
    <x:row r="34" ht="118" customHeight="1">
      <x:c r="A34" s="37" t="n">
        <x:v>46214</x:v>
      </x:c>
      <x:c r="B34" s="12" t="str">
        <x:v>RW3-A</x:v>
      </x:c>
      <x:c r="C34" s="12" t="str">
        <x:v>Prepare Stage A authorization packet; keep implementation unauthorized</x:v>
      </x:c>
      <x:c r="D34" s="12" t="str">
        <x:v>The next permission must bind the frozen contract hash, exact 90-case matrix, 30 refusals, caps, forbidden work, and authorization sequence so general continuation cannot become runtime, device, or data access.</x:v>
      </x:c>
      <x:c r="E34" s="12" t="str">
        <x:v>docs/RW3_STAGE_A_AUTHORIZATION_PACKET.md</x:v>
      </x:c>
      <x:c r="F34" s="12" t="str">
        <x:v>Yes</x:v>
      </x:c>
      <x:c r="G34" s="12" t="str">
        <x:v>Codex</x:v>
      </x:c>
      <x:c r="H34" s="12" t="str">
        <x:v>Explicitly authorize Stage A only, amend, or hold</x:v>
      </x:c>
      <x:c r="I34" s="12" t="str">
        <x:v>Commit 163ff2f; machine request authorized_now=false; 10 invariants; zero source chunks, fixtures, adapters, optional imports, sockets, boards, XDF/data/target/model/training access; Stages B-D remain forbidden.</x:v>
      </x:c>
    </x:row>
    <x:row r="35" ht="90" customHeight="1">
      <x:c r="A35" s="37" t="n">
        <x:v>46214</x:v>
      </x:c>
      <x:c r="B35" s="12" t="n">
        <x:v>24</x:v>
      </x:c>
      <x:c r="C35" s="12" t="str">
        <x:v>Freeze local precision/runtime before candidate execution</x:v>
      </x:c>
      <x:c r="D35" s="12" t="str">
        <x:v>The 1,130-parameter synthetic pipeline is small enough that dtype labels, storage size, warmup, backend choice, and Python overhead can mislead; freeze behavior and resource gates before observing a candidate.</x:v>
      </x:c>
      <x:c r="E35" s="12" t="str">
        <x:v>docs/LOOP_24_PRECISION_RUNTIME_PREREGISTRATION.md</x:v>
      </x:c>
      <x:c r="F35" s="12" t="str">
        <x:v>Yes</x:v>
      </x:c>
      <x:c r="G35" s="12" t="str">
        <x:v>Codex</x:v>
      </x:c>
      <x:c r="H35" s="12" t="str">
        <x:v>Explicitly authorize Loop 24 only, amend, or hold</x:v>
      </x:c>
      <x:c r="I35" s="12" t="str">
        <x:v>Commit 186bb6f; contract SHA-256 58e9d5407fef9419bc3bb0dc8cd3fa68d36dd238cb636d2f833dd9c5c6c3ae5d; 3 candidates; seeds 2401/2402; 12 balanced selection rounds; 30 refusals; 9 invariants; zero fixture/checkpoint/candidate/inference/training/RW3 access.</x:v>
      </x:c>
    </x:row>
    <x:row r="36" ht="158.39999389648438" hidden="0" customHeight="1">
      <x:c r="A36" s="40" t="n">
        <x:v>46215</x:v>
      </x:c>
      <x:c r="B36" s="14" t="str">
        <x:v>24-AUTH</x:v>
      </x:c>
      <x:c r="C36" s="14" t="str">
        <x:v>Authorize frozen target-free Loop 24 only; no runtime yet</x:v>
      </x:c>
      <x:c r="D36" s="14" t="str">
        <x:v>The user explicitly authorized Loop 24 while mentioning real data and training. Preserve the preregistered experiment by authorizing only its target-free synthetic fixture, frozen checkpoint, three candidates, selection, conditional qualification, reports, and CLI after a tested authorization-only commit is pushed. Route real-data and training ambition to Loops 25-27.</x:v>
      </x:c>
      <x:c r="E36" s="14" t="str">
        <x:v>docs/LOOP_24_AUTHORIZATION_DECISION.md; registries/loop24_authorization_decision.v0.json</x:v>
      </x:c>
      <x:c r="F36" s="14" t="str">
        <x:v>Yes</x:v>
      </x:c>
      <x:c r="G36" s="14" t="str">
        <x:v>Cheick + Codex</x:v>
      </x:c>
      <x:c r="H36" s="14" t="str">
        <x:v>Push authorization-only commit; confirm CI; execute exact Loop 24</x:v>
      </x:c>
      <x:c r="I36" s="14" t="str">
        <x:v>The immutable 186bb6f contract retains false flags and its original hash. The separate decision permits only target-free fixture generation, frozen checkpoint validation, the three registered candidates, selection, conditional qualification, reports, and CLI work. Real/consumed data, targets, labels, text, training, new models, energy, RW3, devices, hardware, and Loops 25-44 remain false. Authorization-only counters and runtime outputs are zero.</x:v>
      </x:c>
    </x:row>
    <x:row r="37" ht="79.19999694824219" hidden="0" customHeight="1">
      <x:c r="A37" s="40" t="n">
        <x:v>46215</x:v>
      </x:c>
      <x:c r="B37" s="14" t="str">
        <x:v>24-RUN</x:v>
      </x:c>
      <x:c r="C37" s="14" t="str">
        <x:v>Park precision candidates; retain float32 reference</x:v>
      </x:c>
      <x:c r="D37" s="14" t="str">
        <x:v>All 12 balanced timing rounds completed, but total runtime was 65.154951 s against the frozen 60 s cap. Float16 was smaller but slower; dynamic QNNPACK qint8 was smaller but changed behavior and was slower. The protocol therefore requires parking without a rerun.</x:v>
      </x:c>
      <x:c r="E37" s="14" t="str">
        <x:v>docs/LOOP_24_LOCAL_PRECISION_RUNTIME.md</x:v>
      </x:c>
      <x:c r="F37" s="14" t="str">
        <x:v>No</x:v>
      </x:c>
      <x:c r="G37" s="14" t="str">
        <x:v>Codex</x:v>
      </x:c>
      <x:c r="H37" s="14" t="str">
        <x:v>Loop 25 preregistration decision</x:v>
      </x:c>
      <x:c r="I37" s="14" t="str">
        <x:v>Seed 2401 consumed; seed 2402 unopened; float32 retained. Output 125,934 B; fixture + output 262,822 B; max worker RSS 222,248,960 B; no real data, targets, labels, training, energy, RW3, or hardware access.</x:v>
      </x:c>
    </x:row>
    <x:row r="38" ht="126" customHeight="1">
      <x:c r="A38" s="37" t="n">
        <x:v>46215</x:v>
      </x:c>
      <x:c r="B38" s="12" t="str">
        <x:v>25-REG</x:v>
      </x:c>
      <x:c r="C38" s="12" t="str">
        <x:v>Preregister causal preprocessing; keep execution unauthorized</x:v>
      </x:c>
      <x:c r="D38" s="12" t="str">
        <x:v>The existing sentence path is offline and future-dependent at filtering, resampling, normalization, and endpoint stages. Freeze one target-free stateful path and every acceptance boundary before creating coefficients or fixtures.</x:v>
      </x:c>
      <x:c r="E38" s="12" t="str">
        <x:v>docs/LOOP_25_PRIMARY_SOURCE_RESEARCH.md; docs/LOOP_25_CAUSAL_PREPROCESSING_PREREGISTRATION.md; registries/causal_preprocessing_contract.v0.json; docs/LOOP_25_AUTHORIZATION_PACKET.md</x:v>
      </x:c>
      <x:c r="F38" s="12" t="str">
        <x:v>Yes</x:v>
      </x:c>
      <x:c r="G38" s="12" t="str">
        <x:v>Codex</x:v>
      </x:c>
      <x:c r="H38" s="12" t="str">
        <x:v>Authorize exactly, amend packet, or hold</x:v>
      </x:c>
      <x:c r="I38" s="12" t="str">
        <x:v>Commit a36d97b; CI green; contract SHA-256 42781526225c556d0df54d1b6924fd5d9ecf95578a84c3e3922b6d5c7035050e; 7 schedules; 10 resumes; 3 mutation cuts; 40 refusals; 21 counters; 10 contract + 8 request invariants. authorized_now=false; seeds 2501/2502 unopened; zero runtime/data/target/model/training/RW3/device operations.</x:v>
      </x:c>
    </x:row>
    <x:row r="39" ht="135" customHeight="1">
      <x:c r="A39" s="37" t="n">
        <x:v>46215</x:v>
      </x:c>
      <x:c r="B39" s="12" t="str">
        <x:v>25-AA</x:v>
      </x:c>
      <x:c r="C39" s="12" t="str">
        <x:v>Supersede Loop 25 v0 anti-alias scope before authorization</x:v>
      </x:c>
      <x:c r="D39" s="12" t="str">
        <x:v>Pinned Brain2Qwerty uses NeuralSet 0.2.2, whose extractor performs a separate MNE resample after bandpass filtering. V0 checked only 60 Hz at -6 dB and left almost the complete 50-500 Hz folding band unbounded. Amend before any coefficient or seed exists.</x:v>
      </x:c>
      <x:c r="E39" s="12" t="str">
        <x:v>docs/LOOP_25_ANTI_ALIAS_AUDIT.md; docs/LOOP_25_CAUSAL_PREPROCESSING_AMENDMENT_1.md; registries/causal_preprocessing_contract.v1.json; docs/LOOP_25_AUTHORIZATION_PACKET_V1.md</x:v>
      </x:c>
      <x:c r="F39" s="12" t="str">
        <x:v>Yes</x:v>
      </x:c>
      <x:c r="G39" s="12" t="str">
        <x:v>Codex</x:v>
      </x:c>
      <x:c r="H39" s="12" t="str">
        <x:v>Review v1; authorize exactly, amend again, or hold</x:v>
      </x:c>
      <x:c r="I39" s="12" t="str">
        <x:v>Commit b6b92d8; both CI jobs green; contract SHA-256 ecec99a7cc505ec0256c01c3c1e8aeaa05323ab54a71528323fa6d32bd289141; dedicated elliptic anti-alias; 65,537 response points; 23 alias probes; 7 schedules; 10 resumes; 3 mutation cuts; 45 refusals; 23 counters. authorized_now=false; seeds 2501/2502 unopened; zero coefficient/runtime/data/target/model/training/RW3/device operations.</x:v>
      </x:c>
    </x:row>
    <x:row r="40" ht="142.5" customHeight="1">
      <x:c r="A40" s="37" t="n">
        <x:v>46215</x:v>
      </x:c>
      <x:c r="B40" s="12" t="str">
        <x:v>26-R1</x:v>
      </x:c>
      <x:c r="C40" s="12" t="str">
        <x:v>Close Loop 26 planning research without preregistering an experiment</x:v>
      </x:c>
      <x:c r="D40" s="12" t="str">
        <x:v>Six validation sentences from one person/session support only a coarse source-validation engineering gate. Preserve the 2,908-parameter ceiling, recommend a left-causal padding repair and 2,884-parameter linear comparator, and wait for Loop 25 before freezing thresholds or access.</x:v>
      </x:c>
      <x:c r="E40" s="12" t="str">
        <x:v>docs/LOOP_26_PRIMARY_SOURCE_RESEARCH.md; registries/loop26_research_boundary.v0.json; docs/LOOPS_25_44_ROADMAP.md</x:v>
      </x:c>
      <x:c r="F40" s="12" t="str">
        <x:v>Yes</x:v>
      </x:c>
      <x:c r="G40" s="12" t="str">
        <x:v>Codex</x:v>
      </x:c>
      <x:c r="H40" s="12" t="str">
        <x:v>Make the exact Loop 25 decision; only then consider a separate Loop 26 preregistration</x:v>
      </x:c>
      <x:c r="I40" s="12" t="str">
        <x:v>Planning only. 64 exact paired assignments; minimum two-sided resolution 0.03125 with six nonzero pairs; 55/6/5 split; source test and session 2 frozen; 14 authorization flags false; zero cache/target/model/training/validation operations.</x:v>
      </x:c>
    </x:row>
    <x:row r="41" ht="148.5" customHeight="1">
      <x:c r="A41" s="37" t="n">
        <x:v>46215</x:v>
      </x:c>
      <x:c r="B41" s="12" t="str">
        <x:v>27-R1</x:v>
      </x:c>
      <x:c r="C41" s="12" t="str">
        <x:v>Select S25 metadata for Loop 27 and hold preregistration</x:v>
      </x:c>
      <x:c r="D41" s="12" t="str">
        <x:v>A pinned metadata selector found 23 strict MEG pairs and 16 eligible pairs. Select the first eligible pair, S25 session 2 block 2, at exactly 1,009,939,983 bytes. Keep every payload and permission sealed until source-model, control, target-isolation, and final-rule hashes exist.</x:v>
      </x:c>
      <x:c r="E41" s="12" t="str">
        <x:v>docs/LOOP_27_PRIMARY_SOURCE_RESEARCH.md; registries/loop27_research_boundary.v0.json; docs/LOOPS_25_44_ROADMAP.md</x:v>
      </x:c>
      <x:c r="F41" s="12" t="str">
        <x:v>Yes</x:v>
      </x:c>
      <x:c r="G41" s="12" t="str">
        <x:v>Codex</x:v>
      </x:c>
      <x:c r="H41" s="12" t="str">
        <x:v>Make the exact Loop 25 decision; only after Loop 25/26 evidence exists may Loop 27 preregistration be prepared</x:v>
      </x:c>
      <x:c r="I41" s="12" t="str">
        <x:v>Planning only. S23 officially excluded; S20 is EEG; all 18 permissions false; zero download, local MAT hash, header, signal, target, model, training, final, or backup operations.</x:v>
      </x:c>
    </x:row>
    <x:row r="42" ht="132" hidden="0" customHeight="1">
      <x:c r="A42" s="37" t="n">
        <x:v>46215</x:v>
      </x:c>
      <x:c r="B42" s="12" t="str">
        <x:v>28-R1</x:v>
      </x:c>
      <x:c r="C42" s="12" t="str">
        <x:v>Reserve S25 for strict zero-shot and separate calibration</x:v>
      </x:c>
      <x:c r="D42" s="12" t="str">
        <x:v>Brain2Qwerty v2 is continuous-sentence but noncausal. Its joint model includes target participants and its leave-one-out path finetunes on the target, so neither is strict unseen-person zero-shot. Preserve S25's independence by allowing zero target-person fit rows and moving calibrated transfer to a different physical design.</x:v>
      </x:c>
      <x:c r="E42" s="12" t="str">
        <x:v>docs/LOOP_28_PRIMARY_SOURCE_RESEARCH.md; registries/loop28_research_boundary.v0.json; docs/LOOPS_25_44_ROADMAP.md</x:v>
      </x:c>
      <x:c r="F42" s="12" t="str">
        <x:v>Yes</x:v>
      </x:c>
      <x:c r="G42" s="12" t="str">
        <x:v>Codex</x:v>
      </x:c>
      <x:c r="H42" s="12" t="str">
        <x:v>Make the exact Loop 25 decision; after Loops 25-27 close, consider a separate Loop 28 preregistration</x:v>
      </x:c>
      <x:c r="I42" s="12" t="str">
        <x:v>Planning only. T0-T3 taxonomy; &gt;=48 final rows; &gt;=0.05 macro-CER advantage; 65,535 paired assignments plus observed; four comparators; 21 authorization flags false; zero S25 payload/target/model/calibration/final operations.</x:v>
      </x:c>
    </x:row>
    <x:row r="43" ht="144" customHeight="1">
      <x:c r="A43" s="152" t="n">
        <x:v>46215</x:v>
      </x:c>
      <x:c r="B43" s="39" t="str">
        <x:v>29-R1</x:v>
      </x:c>
      <x:c r="C43" s="39" t="str">
        <x:v>Choose local-first EEG and partner OPM-MEG lanes; hold execution</x:v>
      </x:c>
      <x:c r="D43" s="39" t="str">
        <x:v>Scalp EEG offers the most accessible local acquisition path but has weaker task-matched decoding and stronger reference, placement, motion, and clock risks. OPM-MEG preserves magnetic sensing but still requires specialist shielding, field control, geometry, and motion handling. Keep both lanes separate from cryogenic MEG and peripheral controls.</x:v>
      </x:c>
      <x:c r="E43" s="39" t="str">
        <x:v>docs/LOOP_29_PRIMARY_SOURCE_RESEARCH.md; registries/loop29_research_boundary.v0.json; docs/LOOPS_25_44_ROADMAP.md</x:v>
      </x:c>
      <x:c r="F43" s="39" t="str">
        <x:v>Yes</x:v>
      </x:c>
      <x:c r="G43" s="39" t="str">
        <x:v>Codex</x:v>
      </x:c>
      <x:c r="H43" s="39" t="str">
        <x:v>Review an exact device or acquisition packet only after its prerequisites and separate authorization exist</x:v>
      </x:c>
      <x:c r="I43" s="39" t="str">
        <x:v>Planning only. 15 requirements; 4 profiles; 6 qualification levels; 12 future packet gates; 24 authorization flags false. Preferred/absolute capacity is 5,000,000,000/10,000,000,000 bytes; S20+S25 total 1,106,030,247 bytes; zero download/data/model/stream/device/hardware operations.</x:v>
      </x:c>
    </x:row>
    <x:row r="44" ht="118" customHeight="1">
      <x:c r="A44" s="37" t="n">
        <x:v>46215</x:v>
      </x:c>
      <x:c r="B44" s="12" t="str">
        <x:v>30-R1</x:v>
      </x:c>
      <x:c r="C44" s="12" t="str">
        <x:v>Define a target-free local replay inspector; hold execution</x:v>
      </x:c>
      <x:c r="D44" s="12" t="str">
        <x:v>Brain2Qwerty v2 is continuous but whole-sentence and noncausal, Loop 21 proves only a causal producer, and Loop 23 shows that stable zero-revision output can still be wrong. Freeze replay/live, clocks, revision/finalization, confidence, localhost, accessibility, browser, and resource boundaries before any UI or server exists.</x:v>
      </x:c>
      <x:c r="E44" s="12" t="str">
        <x:v>docs/LOOP_30_PRIMARY_SOURCE_RESEARCH.md; registries/loop30_research_boundary.v0.json; docs/LOOPS_25_44_ROADMAP.md</x:v>
      </x:c>
      <x:c r="F44" s="12" t="str">
        <x:v>Yes</x:v>
      </x:c>
      <x:c r="G44" s="12" t="str">
        <x:v>Codex</x:v>
      </x:c>
      <x:c r="H44" s="12" t="str">
        <x:v>Make the exact Loop 25 decision; prepare a separate Loop 30 packet only after its dependency and scope are explicit</x:v>
      </x:c>
      <x:c r="I44" s="12" t="str">
        <x:v>Planning only. 4 source modes; 30 event fields; 9 clocks; 6 latency levels; 18 gates; 30 refusals; 30 authorization flags false. No seed, trace, UI, server, browser, consumed data, model, stream, live source, or hardware operation.</x:v>
      </x:c>
    </x:row>
    <x:row r="45" ht="126" customHeight="1">
      <x:c r="A45" s="37" t="n">
        <x:v>46215</x:v>
      </x:c>
      <x:c r="B45" s="12" t="str">
        <x:v>31-R1</x:v>
      </x:c>
      <x:c r="C45" s="12" t="str">
        <x:v>Separate sensor dependence, language gain, and neural origin; hold execution</x:v>
      </x:c>
      <x:c r="D45" s="12" t="str">
        <x:v>The real S21 MEG and S7 EEG paths both lose to no-signal priors. Freeze encoder, timing, context, language, Neuro Token, exact inference, target-blind access, and claim ceilings before any validation or model operation. Sensor-signal dependence is the maximum local claim; Loop 35 is required for brain-specific attribution.</x:v>
      </x:c>
      <x:c r="E45" s="12" t="str">
        <x:v>docs/LOOP_31_PRIMARY_SOURCE_RESEARCH.md; registries/loop31_research_boundary.v0.json; docs/LOOPS_25_44_ROADMAP.md</x:v>
      </x:c>
      <x:c r="F45" s="12" t="str">
        <x:v>Yes</x:v>
      </x:c>
      <x:c r="G45" s="12" t="str">
        <x:v>Codex</x:v>
      </x:c>
      <x:c r="H45" s="12" t="str">
        <x:v>Make the exact Loop 25 decision; Loop 31 remains blocked on an actual Loop 26 result and separate authorization</x:v>
      </x:c>
      <x:c r="I45" s="12" t="str">
        <x:v>Planning only. 10 encoder conditions; 5 contingent LLM conditions; 6 claim classes; 18 gates; 24 refusals; 19 authorization flags false. No protected input, model, training, validation, LLM, Neuro Token, S20/S25, stream, device, or hardware operation.</x:v>
      </x:c>
    </x:row>
    <x:row r="46" ht="136" customHeight="1">
      <x:c r="A46" s="37" t="n">
        <x:v>46215</x:v>
      </x:c>
      <x:c r="B46" s="12" t="str">
        <x:v>32-R1</x:v>
      </x:c>
      <x:c r="C46" s="12" t="str">
        <x:v>Count calibration information, not just adapter parameters; hold execution</x:v>
      </x:c>
      <x:c r="D46" s="12" t="str">
        <x:v>Recommend one 32-parameter causal adapter and keep strict zero-shot, unlabeled, label-light, and supervised claims separate. Require physical 32/16/48 partitions, pre-calibration zero-shot prediction freeze, one chosen budget, one final-target open, and complete human burden. Keep S25 final-only.</x:v>
      </x:c>
      <x:c r="E46" s="12" t="str">
        <x:v>docs/LOOP_32_PRIMARY_SOURCE_RESEARCH.md; registries/loop32_research_boundary.v0.json; docs/LOOPS_25_44_ROADMAP.md</x:v>
      </x:c>
      <x:c r="F46" s="12" t="str">
        <x:v>Yes</x:v>
      </x:c>
      <x:c r="G46" s="12" t="str">
        <x:v>Codex</x:v>
      </x:c>
      <x:c r="H46" s="12" t="str">
        <x:v>Make the exact Loop 25 decision; Loop 32 remains blocked on Loop 26/31 results and a separately approved fresh-person protocol</x:v>
      </x:c>
      <x:c r="I46" s="12" t="str">
        <x:v>Planning only. 4 modes; 6 budgets; 32 target-trainable values; 32/16/48 floors; 6 conditions; 7 claims; 20 gates; 26 refusals; 22 authorization flags false; no candidate, protected access, model, adapter fit, training, or evaluation.</x:v>
      </x:c>
    </x:row>
    <x:row r="47">
      <x:c r="A47" s="37" t="n">
        <x:v>46215</x:v>
      </x:c>
      <x:c r="B47" s="12" t="str">
        <x:v>33-R1</x:v>
      </x:c>
      <x:c r="C47" s="12" t="str">
        <x:v>Spend the shared validation event once; hold execution and acquisition</x:v>
      </x:c>
      <x:c r="D47" s="12" t="str">
        <x:v>Recommend nested 8/16/24/32/44/55 unique-sentence prefixes, at most three seeds and 18 fits, and matched priors. Freeze Loop 33 with Loop 26 before the first validation target opens; otherwise a later curve is exploratory. Duplicated arrays are not physical repeated acquisitions, and no public scaling exponent transfers to this tiny local design.</x:v>
      </x:c>
      <x:c r="E47" s="12" t="str">
        <x:v>docs/LOOP_33_PRIMARY_SOURCE_RESEARCH.md; registries/loop33_research_boundary.v0.json; docs/LOOPS_25_44_ROADMAP.md</x:v>
      </x:c>
      <x:c r="F47" s="12" t="str">
        <x:v>Yes</x:v>
      </x:c>
      <x:c r="G47" s="12" t="str">
        <x:v>Codex</x:v>
      </x:c>
      <x:c r="H47" s="12" t="str">
        <x:v>Make the exact Loop 25 decision; co-preregister Loop 26 and Loop 33 before any shared validation-target open</x:v>
      </x:c>
      <x:c r="I47" s="12" t="str">
        <x:v>Planning only. 6 prefixes; 3-seed/18-fit ceiling; 4 conditions; 7 outcomes; 7 claims; 20 gates; 30 refusals; 23 authorization flags false. No protected access, model, training, score, physical-repetition study, or acquisition.</x:v>
      </x:c>
    </x:row>
    <x:row r="48">
      <x:c r="A48" s="37" t="n">
        <x:v>46215</x:v>
      </x:c>
      <x:c r="B48" s="12" t="str">
        <x:v>34-R1</x:v>
      </x:c>
      <x:c r="C48" s="12" t="str">
        <x:v>Keep confidence unavailable until independent evidence exists; hold execution</x:v>
      </x:c>
      <x:c r="D48" s="12" t="str">
        <x:v>Separate raw ranking, calibrated probability, selective policy, conformal bounded risk, revision stability, and product-visible confidence. Reserve the six real validation rows for Loops 26/31/33. Recommend fresh 128/64/256 synthetic partitions and one final open only after every score, mapping, threshold, policy, prediction, and hash freezes.</x:v>
      </x:c>
      <x:c r="E48" s="12" t="str">
        <x:v>docs/LOOP_34_PRIMARY_SOURCE_RESEARCH.md; registries/loop34_research_boundary.v0.json; docs/LOOPS_25_44_ROADMAP.md</x:v>
      </x:c>
      <x:c r="F48" s="12" t="str">
        <x:v>Yes</x:v>
      </x:c>
      <x:c r="G48" s="12" t="str">
        <x:v>Codex</x:v>
      </x:c>
      <x:c r="H48" s="12" t="str">
        <x:v>Make the exact Loop 25 decision; Loop 34 remains blocked on Loop 30/31 execution evidence and a separately authorized fresh synthetic confidence lane</x:v>
      </x:c>
      <x:c r="I48" s="12" t="str">
        <x:v>Planning only. 7 semantics; 8 score/control roles; recommended 128/64/256 partitions; 8 outcomes; 7 claims; 20 gates; 30 refusals; 26 authorization flags false. Confidence unavailable; no fixture, fit, target, scoring, or product-confidence operation.</x:v>
      </x:c>
    </x:row>
    <x:row r="49" ht="198" hidden="0" customHeight="1">
      <x:c r="A49" s="37" t="n">
        <x:v>46215</x:v>
      </x:c>
      <x:c r="B49" s="12" t="str">
        <x:v>35-R1</x:v>
      </x:c>
      <x:c r="C49" s="12" t="str">
        <x:v>Require recorded peripheral controls before bounded neural attribution; hold execution</x:v>
      </x:c>
      <x:c r="D49" s="12" t="str">
        <x:v>Freeze 10 confound classes, 9 future synchronized streams, 13 conditions, 3 separate stages, 24 gates, and 32 refusals. Missing controls remain unavailable. Current S21/S7 evidence cannot close the firewall; a future local pass can claim only incremental brain-sensor information beyond recorded controls, not absolute brain origin.</x:v>
      </x:c>
      <x:c r="E49" s="12" t="str">
        <x:v>docs/LOOP_35_PRIMARY_SOURCE_RESEARCH.md; registries/loop35_research_boundary.v0.json; docs/LOOPS_25_44_ROADMAP.md</x:v>
      </x:c>
      <x:c r="F49" s="12" t="str">
        <x:v>Yes</x:v>
      </x:c>
      <x:c r="G49" s="12" t="str">
        <x:v>Codex</x:v>
      </x:c>
      <x:c r="H49" s="12" t="str">
        <x:v>Make the exact Loop 25 decision; Loop 35 remains blocked on an actual Loop 31 result and separately authorized fresh synchronized multimodal evidence</x:v>
      </x:c>
      <x:c r="I49" s="12"/>
    </x:row>
    <x:row r="50" ht="211.1999969482422" hidden="0" customHeight="1">
      <x:c r="A50" s="37" t="n">
        <x:v>46215</x:v>
      </x:c>
      <x:c r="B50" s="12" t="str">
        <x:v>36-R1</x:v>
      </x:c>
      <x:c r="C50" s="12" t="str">
        <x:v>Treat harmonization as an explicit operator, not hidden equivalence; hold execution</x:v>
      </x:c>
      <x:c r="D50" s="12" t="str">
        <x:v>Freeze 6 representation layers, 5 modality profiles, 24 channel fields, 12 operation classes, 16 fixtures, 22 gates, and 30 refusals. Only explicit aliases, unit factors, and named right-handed transforms can preserve metadata identity. Signal scaling, rereference, compensation, and interpolation remain separately authorized data-changing operations.</x:v>
      </x:c>
      <x:c r="E50" s="12" t="str">
        <x:v>docs/LOOP_36_PRIMARY_SOURCE_RESEARCH.md; registries/loop36_research_boundary.v0.json; docs/LOOPS_25_44_ROADMAP.md</x:v>
      </x:c>
      <x:c r="F50" s="12" t="str">
        <x:v>Yes</x:v>
      </x:c>
      <x:c r="G50" s="12" t="str">
        <x:v>Codex</x:v>
      </x:c>
      <x:c r="H50" s="12" t="str">
        <x:v>Make the exact Loop 25 decision; Loop 36 Stage A remains separately preregistered and authorized, with real headers and signal transforms behind later packets</x:v>
      </x:c>
      <x:c r="I50" s="12"/>
    </x:row>
    <x:row r="51" ht="224.39999389648438" hidden="0" customHeight="1">
      <x:c r="A51" s="37" t="n">
        <x:v>46215</x:v>
      </x:c>
      <x:c r="B51" s="12" t="str">
        <x:v>37-R1</x:v>
      </x:c>
      <x:c r="C51" s="12" t="str">
        <x:v>Separate the stable BIDS envelope from non-standard NeuroDecodeKit payloads; hold execution</x:v>
      </x:c>
      <x:c r="D51" s="12" t="str">
        <x:v>Freeze 6 export layers, 5 artifact profiles, 15 stable mappings, 16 NDK extension fields, 20 fixtures, 4 stages, 24 gates, and 32 refusals. Use truthful BIDS URIs or unavailable fields, redact local identity, forbid raw copies and target text, and cap validator claims at the standard envelope.</x:v>
      </x:c>
      <x:c r="E51" s="12" t="str">
        <x:v>docs/LOOP_37_PRIMARY_SOURCE_RESEARCH.md; registries/loop37_research_boundary.v0.json; docs/LOOPS_25_44_ROADMAP.md</x:v>
      </x:c>
      <x:c r="F51" s="12" t="str">
        <x:v>Yes</x:v>
      </x:c>
      <x:c r="G51" s="12" t="str">
        <x:v>Codex</x:v>
      </x:c>
      <x:c r="H51" s="12" t="str">
        <x:v>Make the exact Loop 25 decision; Loop 37 Stage A remains separately preregistered and authorized, with privacy/license/reproducibility/release behind Loops 38/39/44</x:v>
      </x:c>
      <x:c r="I51" s="12"/>
    </x:row>
    <x:row r="52" ht="224.39999389648438" hidden="0" customHeight="1">
      <x:c r="A52" s="37" t="n">
        <x:v>46216</x:v>
      </x:c>
      <x:c r="B52" s="12" t="str">
        <x:v>38-R1</x:v>
      </x:c>
      <x:c r="C52" s="12" t="str">
        <x:v>Separate redaction, de-identification, deletion receipts, media sanitization, consent, license, and sharing; hold execution</x:v>
      </x:c>
      <x:c r="D52" s="12" t="str">
        <x:v>Freeze 5 sensitivity levels, 8 artifact classes, 10 lifecycle surfaces, 12 sensitive fields, 12 threats, 5 receipt levels, 24 fixtures, 4 stages, 26 gates, and 36 refusals. Keep unknown copies unresolved and forbid broad cleanup or privacy overclaim.</x:v>
      </x:c>
      <x:c r="E52" s="12" t="str">
        <x:v>docs/LOOP_38_PRIMARY_SOURCE_RESEARCH.md; registries/loop38_research_boundary.v0.json; docs/LOOPS_25_44_ROADMAP.md</x:v>
      </x:c>
      <x:c r="F52" s="12" t="str">
        <x:v>Yes</x:v>
      </x:c>
      <x:c r="G52" s="12" t="str">
        <x:v>Codex</x:v>
      </x:c>
      <x:c r="H52" s="12" t="str">
        <x:v>Make the exact Loop 25 decision; any Loop 38 Stage A requires separate preregistration and authorization, with cross-machine/device/release claims behind Loops 39/42/44</x:v>
      </x:c>
      <x:c r="I52" s="12"/>
    </x:row>
    <x:row r="53">
      <x:c r="A53" s="37" t="n">
        <x:v>46216.5</x:v>
      </x:c>
      <x:c r="B53" s="12" t="str">
        <x:v>39-R1</x:v>
      </x:c>
      <x:c r="C53" s="12" t="str">
        <x:v>Separate replay, exact identity, numerical compatibility, reproduction, independent reproduction, and replication; hold execution</x:v>
      </x:c>
      <x:c r="D53" s="12" t="str">
        <x:v>Freeze 7 qualification levels, 18 environment fields, 8 output classes, 6 comparison classes, 6 future matrix cells, 20 fixtures, 4 stages, 28 gates, and 38 refusals. Keep all 36 permissions false and treat the current support audit as a gap map, not reproduction proof.</x:v>
      </x:c>
      <x:c r="E53" s="12" t="str">
        <x:v>docs/LOOP_39_PRIMARY_SOURCE_RESEARCH.md; registries/loop39_research_boundary.v0.json; docs/LOOPS_25_44_ROADMAP.md</x:v>
      </x:c>
      <x:c r="F53" s="12" t="str">
        <x:v>Yes</x:v>
      </x:c>
      <x:c r="G53" s="12" t="str">
        <x:v>Codex</x:v>
      </x:c>
      <x:c r="H53" s="12" t="str">
        <x:v>Make the exact Loop 25 decision; any Loop 39 Stage A requires separate preregistration and authorization, with edge/independent/device/release claims behind Loops 40/43/42/44</x:v>
      </x:c>
      <x:c r="I53" s="12"/>
    </x:row>
    <x:row r="54">
      <x:c r="A54" s="37" t="n">
        <x:v>46216</x:v>
      </x:c>
      <x:c r="B54" s="12" t="str">
        <x:v>40-R1</x:v>
      </x:c>
      <x:c r="C54" s="12" t="str">
        <x:v>Keep every edge backend unselected until a named target and relevant Loop 39 matrix pass exist; treat ExecuTorch/XNNPACK only as the leading research candidate.</x:v>
      </x:c>
      <x:c r="D54" s="12" t="str">
        <x:v>Prevents a PyTorch export demo, small model file, or simulator run from being mislabeled deployment benefit, portable hardware, or science.</x:v>
      </x:c>
      <x:c r="E54" s="12" t="str">
        <x:v>docs/LOOP_40_PRIMARY_SOURCE_RESEARCH.md; registries/loop40_research_boundary.v0.json</x:v>
      </x:c>
      <x:c r="F54" s="12" t="str">
        <x:v>Yes</x:v>
      </x:c>
      <x:c r="G54" s="12"/>
      <x:c r="H54" s="12"/>
      <x:c r="I54" s="12"/>
    </x:row>
    <x:row r="55">
      <x:c r="A55" s="37" t="n">
        <x:v>46216</x:v>
      </x:c>
      <x:c r="B55" s="12" t="str">
        <x:v>41-R1</x:v>
      </x:c>
      <x:c r="C55" s="12" t="str">
        <x:v>Preserve every clock and anomaly across the stream-to-token join; hold execution</x:v>
      </x:c>
      <x:c r="D55" s="12" t="str">
        <x:v>Freeze 6 integration layers, 7 clock views, 8 anomaly classes, 5 schedules, 5 resume cuts, 18 hash bindings, 28 fixtures, 32 gates, and 42 refusals. Source time remains immutable; corrected time is derived; replay capture-to-text latency stays unavailable. All four execution dependencies remain unsatisfied.</x:v>
      </x:c>
      <x:c r="E55" s="12" t="str">
        <x:v>docs/LOOP_41_PRIMARY_SOURCE_RESEARCH.md; registries/loop41_research_boundary.v0.json; docs/LOOPS_25_44_ROADMAP.md</x:v>
      </x:c>
      <x:c r="F55" s="12" t="str">
        <x:v>Yes</x:v>
      </x:c>
      <x:c r="G55" s="12" t="str">
        <x:v>Codex</x:v>
      </x:c>
      <x:c r="H55" s="12" t="str">
        <x:v>Make the exact Loop 25 decision separately; Loop 41 remains blocked on compatible Loop 25/37/39 and RW3 Stage A closeouts plus its own preregistration and authorization</x:v>
      </x:c>
      <x:c r="I55" s="12"/>
    </x:row>
    <x:row r="56">
      <x:c r="A56" s="37" t="n">
        <x:v>46216</x:v>
      </x:c>
      <x:c r="B56" s="12" t="str">
        <x:v>42-R1</x:v>
      </x:c>
      <x:c r="C56" s="12" t="str">
        <x:v>Select OpenBCI Cyton base 8-channel USB-radio as the future mechanics candidate at Q0 only.</x:v>
      </x:c>
      <x:c r="D56" s="12" t="str">
        <x:v>Official packet, firmware, reference, local-file, and BrainFlow paths are inspectable; selection is not purchase, qualification, or decoding evidence.</x:v>
      </x:c>
      <x:c r="E56" s="12" t="str">
        <x:v>No device/SDK/participant/runtime; Daisy, Wi-Fi, cloud, targets, models, and capture-latency inference excluded.</x:v>
      </x:c>
      <x:c r="F56" s="12" t="str">
        <x:v>Yes</x:v>
      </x:c>
      <x:c r="G56" s="12" t="str">
        <x:v>Codex</x:v>
      </x:c>
      <x:c r="H56" s="12" t="str">
        <x:v>Keep Loop 42 unauthorized until Loops 38/41, RW3 Stage A, consent/retention, a preregistration, and an exact stage-only authorization are independently satisfied.</x:v>
      </x:c>
      <x:c r="I56" s="12"/>
      <x:c r="J56"/>
    </x:row>
    <x:row r="57">
      <x:c r="A57" s="37" t="n">
        <x:v>46216</x:v>
      </x:c>
      <x:c r="B57" s="12" t="str">
        <x:v>43-R1</x:v>
      </x:c>
      <x:c r="C57" s="12" t="str">
        <x:v>Separate independent artifact reproduction from scientific replication and freeze a target-free commit-reveal challenge boundary.</x:v>
      </x:c>
      <x:c r="D57" s="12" t="str">
        <x:v>A maintainer rerun is repeatability; author-artifact reproduction by an eligible external environment is narrower than independent scientific implementation.</x:v>
      </x:c>
      <x:c r="E57" s="12" t="str">
        <x:v>No packet/oracle/contributor/runtime; validator incident read 136 cache JSON and 11 known session-2 files with no tuning/scoring; no raw neural payload or privileged untrusted CI.</x:v>
      </x:c>
      <x:c r="F57" s="12" t="str">
        <x:v>Yes</x:v>
      </x:c>
      <x:c r="G57" s="12" t="str">
        <x:v>Codex</x:v>
      </x:c>
      <x:c r="H57" s="12" t="str">
        <x:v>Keep Loop 43 unauthorized until compatible Loops 37-39 close and each A-D stage receives its own hash-bound authorization and green CI.</x:v>
      </x:c>
      <x:c r="I57" s="12"/>
      <x:c r="J57"/>
    </x:row>
    <x:row r="58" ht="96" customHeight="1">
      <x:c r="A58" s="37" t="n">
        <x:v>46216.5</x:v>
      </x:c>
      <x:c r="B58" s="12" t="str">
        <x:v>25-R1</x:v>
      </x:c>
      <x:c r="C58" s="12" t="str">
        <x:v>Accept Loop 25 causal mechanics; keep science closed and prohibit rerun</x:v>
      </x:c>
      <x:c r="D58" s="12" t="str">
        <x:v>Static qualification passed before seed access; development froze before one conditional qualification open; all 24 items, 168 schedules, 240 resumes, and 72 mutation controls passed with zero protected reads and all resource caps satisfied.</x:v>
      </x:c>
      <x:c r="E58" s="12" t="str">
        <x:v>docs/LOOP_25_CAUSAL_PREPROCESSING_RESULT.md; registries/loop25_causal_preprocessing_result.v1.json; commits 1e7296a and 439f151</x:v>
      </x:c>
      <x:c r="F58" s="12" t="str">
        <x:v>No</x:v>
      </x:c>
      <x:c r="G58" s="12" t="str">
        <x:v>Codex</x:v>
      </x:c>
      <x:c r="H58" s="12" t="str">
        <x:v>Loop 25 and roadmap Loop 45 are complete. Loop 26/46 requires a new preregistration and separate authorization; no real cache, target, model, training, RW3, device, or rerun is opened.</x:v>
      </x:c>
      <x:c r="I58" s="12" t="str">
        <x:v>Engineering mechanics only; no retained neural information, decoding, latency, transfer, device, home-use, or clinical claim.</x:v>
      </x:c>
    </x:row>
    <x:row r="59">
      <x:c r="A59" s="37" t="n">
        <x:v>46216</x:v>
      </x:c>
      <x:c r="B59" s="12" t="str">
        <x:v>26/31/33-R1</x:v>
      </x:c>
      <x:c r="C59" s="12" t="str">
        <x:v>Share the six S21 validation targets; preregister and hold execution</x:v>
      </x:c>
      <x:c r="D59" s="12" t="str">
        <x:v>Freeze the primary model, 10 encoder conditions, six-size scaling curve, and 31 prediction sets before one six-target scoring delivery. Withdraw physical-never-opened wording because the legacy deflated NPZ loader materialized complete arrays; preserve the narrower unused-for-fit/selection/scoring claim.</x:v>
      </x:c>
      <x:c r="E59" s="12" t="str">
        <x:v>docs/LOOP_26_SHARED_VALIDATION_PREREGISTRATION.md; registries/loop26_shared_validation_contract.v0.json; commit 881145d; CI 29282661766</x:v>
      </x:c>
      <x:c r="F59" s="12" t="str">
        <x:v>Yes</x:v>
      </x:c>
      <x:c r="G59" s="12" t="str">
        <x:v>Codex</x:v>
      </x:c>
      <x:c r="H59" s="12" t="str">
        <x:v>Exact authorization sentence or hold</x:v>
      </x:c>
      <x:c r="I59" s="12" t="str">
        <x:v>No implementation or protected execution. Maximum future pass: bounded same-person/session predictive advantage and sensor-signal dependence; no brain-specific, transfer, real-time, device, home, or clinical claim.</x:v>
      </x:c>
    </x:row>
    <x:row r="60">
      <x:c r="A60" s="37" t="n">
        <x:v>46218</x:v>
      </x:c>
      <x:c r="B60" s="12" t="str">
        <x:v>26/31/33-R2</x:v>
      </x:c>
      <x:c r="C60" s="12" t="str">
        <x:v>Park the consumed shared S21 validation, attribution, and scaling gates; prohibit rerun</x:v>
      </x:c>
      <x:c r="D60" s="12" t="str">
        <x:v>The fixed candidate reached macro CER 0.938177 versus 0.751235 for the train-only prior, a -0.186942 margin. The primary, complete attribution, and scaling gates failed even though engineering and access-order gates passed.</x:v>
      </x:c>
      <x:c r="E60" s="12" t="str">
        <x:v>docs/LOOP_26_SHARED_VALIDATION_RESULT.md; registries/loop26_shared_validation_result.v0.json; freeze 54bdca9</x:v>
      </x:c>
      <x:c r="F60" s="12" t="str">
        <x:v>No</x:v>
      </x:c>
      <x:c r="G60" s="12" t="str">
        <x:v>Codex</x:v>
      </x:c>
      <x:c r="H60" s="12" t="str">
        <x:v>Loop 48 artifact-first failure localization under a separate exact authorization</x:v>
      </x:c>
      <x:c r="I60" s="12" t="str">
        <x:v>Six validation targets consumed once; zero source-test/session-2 rows; zero post-target changes; no neural advantage, sensor-signal, transfer, real-time, device, or clinical claim.</x:v>
      </x:c>
    </x:row>
    <x:row r="61">
      <x:c r="A61" s="37" t="n">
        <x:v>46218</x:v>
      </x:c>
      <x:c r="B61" s="12" t="str">
        <x:v>48-R1</x:v>
      </x:c>
      <x:c r="C61" s="12" t="str">
        <x:v>Preregister artifact-only failure localization; keep execution and protected evidence closed</x:v>
      </x:c>
      <x:c r="D61" s="12" t="str">
        <x:v>The primary checkpoint emitted 99.3477% blank, every fixed-prefix group showed at least 0.25 three-seed blank-fraction dispersion, and all size-55 seeds lost to the prior. Register F5 as an output-instability phenotype, not a causal explanation.</x:v>
      </x:c>
      <x:c r="E61" s="12" t="str">
        <x:v>docs/LOOP_48_PRIMARY_SOURCE_RESEARCH.md; registries/loop48_failure_localization_contract.v0.json; Decision 0077</x:v>
      </x:c>
      <x:c r="F61" s="12" t="str">
        <x:v>Yes</x:v>
      </x:c>
      <x:c r="G61" s="12" t="str">
        <x:v>Codex</x:v>
      </x:c>
      <x:c r="H61" s="12" t="str">
        <x:v>Commit, push, and remotely qualify the exact contract; then make a separate Stage A authorization decision or hold</x:v>
      </x:c>
      <x:c r="I61" s="12" t="str">
        <x:v>Post-outcome aggregate diagnosis only. No implementation, cache/target/checkpoint/private-prediction read, model, training, scoring, S25, stream, device, hardware, or scientific claim upgrade.</x:v>
      </x:c>
    </x:row>
    <x:row r="62">
      <x:c r="A62" s="37" t="n">
        <x:v>46218</x:v>
      </x:c>
      <x:c r="B62" s="12" t="str">
        <x:v>48-R2</x:v>
      </x:c>
      <x:c r="C62" s="12" t="str">
        <x:v>Prepare one exact four-JSON Stage A request; keep every authorization false</x:v>
      </x:c>
      <x:c r="D62" s="12" t="str">
        <x:v>Bind green contract commit 83309bf and both CI runs. A future authorized Stage A may verify four committed JSON inputs totaling 155,545 bytes, reproduce frozen aggregate arithmetic, apply the eight-class tree, and write one target-free report.</x:v>
      </x:c>
      <x:c r="E62" s="12" t="str">
        <x:v>docs/LOOP_48_AUTHORIZATION_PACKET.md; registries/loop48_authorization_request.v0.json; Decision 0078</x:v>
      </x:c>
      <x:c r="F62" s="12" t="str">
        <x:v>Yes</x:v>
      </x:c>
      <x:c r="G62" s="12" t="str">
        <x:v>Codex</x:v>
      </x:c>
      <x:c r="H62" s="12" t="str">
        <x:v>Exact Stage A authorization sentence or hold</x:v>
      </x:c>
      <x:c r="I62" s="12" t="str">
        <x:v>No implementation or execution. One thread/worker, 30 sec, 256 MiB RSS, 1 MiB output; zero protected reads, models, training, targets, S25, streams, devices, hardware, claim upgrades, or reruns.</x:v>
      </x:c>
    </x:row>
    <x:row r="63">
      <x:c r="A63" s="37" t="n">
        <x:v>46218</x:v>
      </x:c>
      <x:c r="B63" s="12" t="str">
        <x:v>48-R3</x:v>
      </x:c>
      <x:c r="C63" s="12" t="str">
        <x:v>Evaluate five coexisting failure hypotheses from one shared train-only evidence bundle</x:v>
      </x:c>
      <x:c r="D63" s="12" t="str">
        <x:v>Compare CTC fit, sensor quality, timing/preprocessing, representation separability, and prior dominance in parallel scientifically while numerical work remains sequential and one-threaded.</x:v>
      </x:c>
      <x:c r="E63" s="12" t="str">
        <x:v>docs/LOOP_48_TRAIN_ONLY_HYPOTHESIS_PORTFOLIO.md; registries/loop48_hypothesis_portfolio.v0.json; Decision 0079</x:v>
      </x:c>
      <x:c r="F63" s="12" t="str">
        <x:v>Yes</x:v>
      </x:c>
      <x:c r="G63" s="12" t="str">
        <x:v>Codex</x:v>
      </x:c>
      <x:c r="H63" s="12" t="str">
        <x:v>Stage A decision first; Stage B requires a later exact preregistration and authorization</x:v>
      </x:c>
      <x:c r="I63" s="12" t="str">
        <x:v>Design research only. No split, threshold, seed, model inventory, cap, fixture, train-array read, model, training, score, or protected operation is authorized.</x:v>
      </x:c>
    </x:row>
    <x:row r="64">
      <x:c r="A64" s="37"/>
      <x:c r="B64" s="12"/>
      <x:c r="C64" s="12"/>
      <x:c r="D64" s="12"/>
      <x:c r="E64" s="12"/>
      <x:c r="F64" s="12"/>
      <x:c r="G64" s="12"/>
      <x:c r="H64" s="12"/>
      <x:c r="I64" s="12"/>
    </x:row>
    <x:row r="65">
      <x:c r="A65" s="37"/>
      <x:c r="B65" s="12"/>
      <x:c r="C65" s="12"/>
      <x:c r="D65" s="12"/>
      <x:c r="E65" s="12"/>
      <x:c r="F65" s="12"/>
      <x:c r="G65" s="12"/>
      <x:c r="H65" s="12"/>
      <x:c r="I65" s="12"/>
    </x:row>
    <x:row r="66">
      <x:c r="A66" s="37"/>
      <x:c r="B66" s="12"/>
      <x:c r="C66" s="12"/>
      <x:c r="D66" s="12"/>
      <x:c r="E66" s="12"/>
      <x:c r="F66" s="12"/>
      <x:c r="G66" s="12"/>
      <x:c r="H66" s="12"/>
      <x:c r="I66" s="12"/>
    </x:row>
    <x:row r="67">
      <x:c r="A67" s="37"/>
      <x:c r="B67" s="12"/>
      <x:c r="C67" s="12"/>
      <x:c r="D67" s="12"/>
      <x:c r="E67" s="12"/>
      <x:c r="F67" s="12"/>
      <x:c r="G67" s="12"/>
      <x:c r="H67" s="12"/>
      <x:c r="I67" s="12"/>
    </x:row>
    <x:row r="68">
      <x:c r="A68" s="37"/>
      <x:c r="B68" s="12"/>
      <x:c r="C68" s="12"/>
      <x:c r="D68" s="12"/>
      <x:c r="E68" s="12"/>
      <x:c r="F68" s="12"/>
      <x:c r="G68" s="12"/>
      <x:c r="H68" s="12"/>
      <x:c r="I68" s="12"/>
    </x:row>
    <x:row r="69">
      <x:c r="A69" s="37"/>
      <x:c r="B69" s="12"/>
      <x:c r="C69" s="12"/>
      <x:c r="D69" s="12"/>
      <x:c r="E69" s="12"/>
      <x:c r="F69" s="12"/>
      <x:c r="G69" s="12"/>
      <x:c r="H69" s="12"/>
      <x:c r="I69" s="12"/>
    </x:row>
    <x:row r="70">
      <x:c r="A70" s="37"/>
      <x:c r="B70" s="12"/>
      <x:c r="C70" s="12"/>
      <x:c r="D70" s="12"/>
      <x:c r="E70" s="12"/>
      <x:c r="F70" s="12"/>
      <x:c r="G70" s="12"/>
      <x:c r="H70" s="12"/>
      <x:c r="I70" s="12"/>
    </x:row>
    <x:row r="71">
      <x:c r="A71" s="37"/>
      <x:c r="B71" s="12"/>
      <x:c r="C71" s="12"/>
      <x:c r="D71" s="12"/>
      <x:c r="E71" s="12"/>
      <x:c r="F71" s="12"/>
      <x:c r="G71" s="12"/>
      <x:c r="H71" s="12"/>
      <x:c r="I71" s="12"/>
    </x:row>
    <x:row r="72">
      <x:c r="A72" s="37"/>
      <x:c r="B72" s="12"/>
      <x:c r="C72" s="12"/>
      <x:c r="D72" s="12"/>
      <x:c r="E72" s="12"/>
      <x:c r="F72" s="12"/>
      <x:c r="G72" s="12"/>
      <x:c r="H72" s="12"/>
      <x:c r="I72" s="12"/>
    </x:row>
    <x:row r="73">
      <x:c r="A73" s="37"/>
      <x:c r="B73" s="12"/>
      <x:c r="C73" s="12"/>
      <x:c r="D73" s="12"/>
      <x:c r="E73" s="12"/>
      <x:c r="F73" s="12"/>
      <x:c r="G73" s="12"/>
      <x:c r="H73" s="12"/>
      <x:c r="I73" s="12"/>
    </x:row>
    <x:row r="74">
      <x:c r="A74" s="37"/>
      <x:c r="B74" s="12"/>
      <x:c r="C74" s="12"/>
      <x:c r="D74" s="12"/>
      <x:c r="E74" s="12"/>
      <x:c r="F74" s="12"/>
      <x:c r="G74" s="12"/>
      <x:c r="H74" s="12"/>
      <x:c r="I74" s="12"/>
    </x:row>
    <x:row r="75">
      <x:c r="A75" s="37"/>
      <x:c r="B75" s="12"/>
      <x:c r="C75" s="12"/>
      <x:c r="D75" s="12"/>
      <x:c r="E75" s="12"/>
      <x:c r="F75" s="12"/>
      <x:c r="G75" s="12"/>
      <x:c r="H75" s="12"/>
      <x:c r="I75" s="12"/>
    </x:row>
    <x:row r="76">
      <x:c r="A76" s="37"/>
      <x:c r="B76" s="12"/>
      <x:c r="C76" s="12"/>
      <x:c r="D76" s="12"/>
      <x:c r="E76" s="12"/>
      <x:c r="F76" s="12"/>
      <x:c r="G76" s="12"/>
      <x:c r="H76" s="12"/>
      <x:c r="I76" s="12"/>
    </x:row>
    <x:row r="77">
      <x:c r="A77" s="37"/>
      <x:c r="B77" s="12"/>
      <x:c r="C77" s="12"/>
      <x:c r="D77" s="12"/>
      <x:c r="E77" s="12"/>
      <x:c r="F77" s="12"/>
      <x:c r="G77" s="12"/>
      <x:c r="H77" s="12"/>
      <x:c r="I77" s="12"/>
    </x:row>
    <x:row r="78">
      <x:c r="A78" s="37"/>
      <x:c r="B78" s="12"/>
      <x:c r="C78" s="12"/>
      <x:c r="D78" s="12"/>
      <x:c r="E78" s="12"/>
      <x:c r="F78" s="12"/>
      <x:c r="G78" s="12"/>
      <x:c r="H78" s="12"/>
      <x:c r="I78" s="12"/>
    </x:row>
    <x:row r="79">
      <x:c r="A79" s="37"/>
      <x:c r="B79" s="12"/>
      <x:c r="C79" s="12"/>
      <x:c r="D79" s="12"/>
      <x:c r="E79" s="12"/>
      <x:c r="F79" s="12"/>
      <x:c r="G79" s="12"/>
      <x:c r="H79" s="12"/>
      <x:c r="I79" s="12"/>
    </x:row>
    <x:row r="80">
      <x:c r="A80" s="37"/>
      <x:c r="B80" s="12"/>
      <x:c r="C80" s="12"/>
      <x:c r="D80" s="12"/>
      <x:c r="E80" s="12"/>
      <x:c r="F80" s="12"/>
      <x:c r="G80" s="12"/>
      <x:c r="H80" s="12"/>
      <x:c r="I80" s="12"/>
    </x:row>
    <x:row r="81">
      <x:c r="A81" s="37"/>
      <x:c r="B81" s="12"/>
      <x:c r="C81" s="12"/>
      <x:c r="D81" s="12"/>
      <x:c r="E81" s="12"/>
      <x:c r="F81" s="12"/>
      <x:c r="G81" s="12"/>
      <x:c r="H81" s="12"/>
      <x:c r="I81" s="12"/>
    </x:row>
    <x:row r="82">
      <x:c r="A82" s="37"/>
      <x:c r="B82" s="12"/>
      <x:c r="C82" s="12"/>
      <x:c r="D82" s="12"/>
      <x:c r="E82" s="12"/>
      <x:c r="F82" s="12"/>
      <x:c r="G82" s="12"/>
      <x:c r="H82" s="12"/>
      <x:c r="I82" s="12"/>
    </x:row>
    <x:row r="83">
      <x:c r="A83" s="37"/>
      <x:c r="B83" s="12"/>
      <x:c r="C83" s="12"/>
      <x:c r="D83" s="12"/>
      <x:c r="E83" s="12"/>
      <x:c r="F83" s="12"/>
      <x:c r="G83" s="12"/>
      <x:c r="H83" s="12"/>
      <x:c r="I83" s="12"/>
    </x:row>
    <x:row r="84">
      <x:c r="A84" s="37"/>
      <x:c r="B84" s="12"/>
      <x:c r="C84" s="12"/>
      <x:c r="D84" s="12"/>
      <x:c r="E84" s="12"/>
      <x:c r="F84" s="12"/>
      <x:c r="G84" s="12"/>
      <x:c r="H84" s="12"/>
      <x:c r="I84" s="12"/>
    </x:row>
    <x:row r="85">
      <x:c r="A85" s="37"/>
      <x:c r="B85" s="12"/>
      <x:c r="C85" s="12"/>
      <x:c r="D85" s="12"/>
      <x:c r="E85" s="12"/>
      <x:c r="F85" s="12"/>
      <x:c r="G85" s="12"/>
      <x:c r="H85" s="12"/>
      <x:c r="I85" s="12"/>
    </x:row>
    <x:row r="86">
      <x:c r="A86" s="37"/>
      <x:c r="B86" s="12"/>
      <x:c r="C86" s="12"/>
      <x:c r="D86" s="12"/>
      <x:c r="E86" s="12"/>
      <x:c r="F86" s="12"/>
      <x:c r="G86" s="12"/>
      <x:c r="H86" s="12"/>
      <x:c r="I86" s="12"/>
    </x:row>
    <x:row r="87">
      <x:c r="A87" s="37"/>
      <x:c r="B87" s="12"/>
      <x:c r="C87" s="12"/>
      <x:c r="D87" s="12"/>
      <x:c r="E87" s="12"/>
      <x:c r="F87" s="12"/>
      <x:c r="G87" s="12"/>
      <x:c r="H87" s="12"/>
      <x:c r="I87" s="12"/>
    </x:row>
    <x:row r="88">
      <x:c r="A88" s="37"/>
      <x:c r="B88" s="12"/>
      <x:c r="C88" s="12"/>
      <x:c r="D88" s="12"/>
      <x:c r="E88" s="12"/>
      <x:c r="F88" s="12"/>
      <x:c r="G88" s="12"/>
      <x:c r="H88" s="12"/>
      <x:c r="I88" s="12"/>
    </x:row>
    <x:row r="89">
      <x:c r="A89" s="37"/>
      <x:c r="B89" s="12"/>
      <x:c r="C89" s="12"/>
      <x:c r="D89" s="12"/>
      <x:c r="E89" s="12"/>
      <x:c r="F89" s="12"/>
      <x:c r="G89" s="12"/>
      <x:c r="H89" s="12"/>
      <x:c r="I89" s="12"/>
    </x:row>
    <x:row r="90">
      <x:c r="A90" s="37"/>
      <x:c r="B90" s="12"/>
      <x:c r="C90" s="12"/>
      <x:c r="D90" s="12"/>
      <x:c r="E90" s="12"/>
      <x:c r="F90" s="12"/>
      <x:c r="G90" s="12"/>
      <x:c r="H90" s="12"/>
      <x:c r="I90" s="12"/>
    </x:row>
    <x:row r="91">
      <x:c r="A91" s="37"/>
      <x:c r="B91" s="12"/>
      <x:c r="C91" s="12"/>
      <x:c r="D91" s="12"/>
      <x:c r="E91" s="12"/>
      <x:c r="F91" s="12"/>
      <x:c r="G91" s="12"/>
      <x:c r="H91" s="12"/>
      <x:c r="I91" s="12"/>
    </x:row>
    <x:row r="92">
      <x:c r="A92" s="37"/>
      <x:c r="B92" s="12"/>
      <x:c r="C92" s="12"/>
      <x:c r="D92" s="12"/>
      <x:c r="E92" s="12"/>
      <x:c r="F92" s="12"/>
      <x:c r="G92" s="12"/>
      <x:c r="H92" s="12"/>
      <x:c r="I92" s="12"/>
    </x:row>
    <x:row r="93">
      <x:c r="A93" s="37"/>
      <x:c r="B93" s="12"/>
      <x:c r="C93" s="12"/>
      <x:c r="D93" s="12"/>
      <x:c r="E93" s="12"/>
      <x:c r="F93" s="12"/>
      <x:c r="G93" s="12"/>
      <x:c r="H93" s="12"/>
      <x:c r="I93" s="12"/>
    </x:row>
    <x:row r="94">
      <x:c r="A94" s="37"/>
      <x:c r="B94" s="12"/>
      <x:c r="C94" s="12"/>
      <x:c r="D94" s="12"/>
      <x:c r="E94" s="12"/>
      <x:c r="F94" s="12"/>
      <x:c r="G94" s="12"/>
      <x:c r="H94" s="12"/>
      <x:c r="I94" s="12"/>
    </x:row>
    <x:row r="95">
      <x:c r="A95" s="37"/>
      <x:c r="B95" s="12"/>
      <x:c r="C95" s="12"/>
      <x:c r="D95" s="12"/>
      <x:c r="E95" s="12"/>
      <x:c r="F95" s="12"/>
      <x:c r="G95" s="12"/>
      <x:c r="H95" s="12"/>
      <x:c r="I95" s="12"/>
    </x:row>
    <x:row r="96">
      <x:c r="A96" s="37"/>
      <x:c r="B96" s="12"/>
      <x:c r="C96" s="12"/>
      <x:c r="D96" s="12"/>
      <x:c r="E96" s="12"/>
      <x:c r="F96" s="12"/>
      <x:c r="G96" s="12"/>
      <x:c r="H96" s="12"/>
      <x:c r="I96" s="12"/>
    </x:row>
    <x:row r="97">
      <x:c r="A97" s="37"/>
      <x:c r="B97" s="12"/>
      <x:c r="C97" s="12"/>
      <x:c r="D97" s="12"/>
      <x:c r="E97" s="12"/>
      <x:c r="F97" s="12"/>
      <x:c r="G97" s="12"/>
      <x:c r="H97" s="12"/>
      <x:c r="I97" s="12"/>
    </x:row>
    <x:row r="98">
      <x:c r="A98" s="37"/>
      <x:c r="B98" s="12"/>
      <x:c r="C98" s="12"/>
      <x:c r="D98" s="12"/>
      <x:c r="E98" s="12"/>
      <x:c r="F98" s="12"/>
      <x:c r="G98" s="12"/>
      <x:c r="H98" s="12"/>
      <x:c r="I98" s="12"/>
    </x:row>
    <x:row r="99">
      <x:c r="A99" s="37"/>
      <x:c r="B99" s="12"/>
      <x:c r="C99" s="12"/>
      <x:c r="D99" s="12"/>
      <x:c r="E99" s="12"/>
      <x:c r="F99" s="12"/>
      <x:c r="G99" s="12"/>
      <x:c r="H99" s="12"/>
      <x:c r="I99" s="12"/>
    </x:row>
    <x:row r="100">
      <x:c r="A100" s="37"/>
      <x:c r="B100" s="12"/>
      <x:c r="C100" s="12"/>
      <x:c r="D100" s="12"/>
      <x:c r="E100" s="12"/>
      <x:c r="F100" s="12"/>
      <x:c r="G100" s="12"/>
      <x:c r="H100" s="12"/>
      <x:c r="I100" s="12"/>
    </x:row>
    <x:row r="101">
      <x:c r="A101" s="37"/>
      <x:c r="B101" s="12"/>
      <x:c r="C101" s="12"/>
      <x:c r="D101" s="12"/>
      <x:c r="E101" s="12"/>
      <x:c r="F101" s="12"/>
      <x:c r="G101" s="12"/>
      <x:c r="H101" s="12"/>
      <x:c r="I101" s="12"/>
    </x:row>
    <x:row r="102">
      <x:c r="A102" s="37"/>
      <x:c r="B102" s="12"/>
      <x:c r="C102" s="12"/>
      <x:c r="D102" s="12"/>
      <x:c r="E102" s="12"/>
      <x:c r="F102" s="12"/>
      <x:c r="G102" s="12"/>
      <x:c r="H102" s="12"/>
      <x:c r="I102" s="12"/>
    </x:row>
    <x:row r="103">
      <x:c r="A103" s="37"/>
      <x:c r="B103" s="12"/>
      <x:c r="C103" s="12"/>
      <x:c r="D103" s="12"/>
      <x:c r="E103" s="12"/>
      <x:c r="F103" s="12"/>
      <x:c r="G103" s="12"/>
      <x:c r="H103" s="12"/>
      <x:c r="I103" s="12"/>
    </x:row>
    <x:row r="104">
      <x:c r="A104" s="37"/>
      <x:c r="B104" s="12"/>
      <x:c r="C104" s="12"/>
      <x:c r="D104" s="12"/>
      <x:c r="E104" s="12"/>
      <x:c r="F104" s="12"/>
      <x:c r="G104" s="12"/>
      <x:c r="H104" s="12"/>
      <x:c r="I104" s="12"/>
    </x:row>
    <x:row r="105">
      <x:c r="A105" s="37"/>
      <x:c r="B105" s="12"/>
      <x:c r="C105" s="12"/>
      <x:c r="D105" s="12"/>
      <x:c r="E105" s="12"/>
      <x:c r="F105" s="12"/>
      <x:c r="G105" s="12"/>
      <x:c r="H105" s="12"/>
      <x:c r="I105" s="12"/>
    </x:row>
    <x:row r="106">
      <x:c r="A106" s="37"/>
      <x:c r="B106" s="12"/>
      <x:c r="C106" s="12"/>
      <x:c r="D106" s="12"/>
      <x:c r="E106" s="12"/>
      <x:c r="F106" s="12"/>
      <x:c r="G106" s="12"/>
      <x:c r="H106" s="12"/>
      <x:c r="I106" s="12"/>
    </x:row>
    <x:row r="107">
      <x:c r="A107" s="37"/>
      <x:c r="B107" s="12"/>
      <x:c r="C107" s="12"/>
      <x:c r="D107" s="12"/>
      <x:c r="E107" s="12"/>
      <x:c r="F107" s="12"/>
      <x:c r="G107" s="12"/>
      <x:c r="H107" s="12"/>
      <x:c r="I107" s="12"/>
    </x:row>
    <x:row r="108">
      <x:c r="A108" s="37"/>
      <x:c r="B108" s="12"/>
      <x:c r="C108" s="12"/>
      <x:c r="D108" s="12"/>
      <x:c r="E108" s="12"/>
      <x:c r="F108" s="12"/>
      <x:c r="G108" s="12"/>
      <x:c r="H108" s="12"/>
      <x:c r="I108" s="12"/>
    </x:row>
    <x:row r="109">
      <x:c r="A109" s="37"/>
      <x:c r="B109" s="12"/>
      <x:c r="C109" s="12"/>
      <x:c r="D109" s="12"/>
      <x:c r="E109" s="12"/>
      <x:c r="F109" s="12"/>
      <x:c r="G109" s="12"/>
      <x:c r="H109" s="12"/>
      <x:c r="I109" s="12"/>
    </x:row>
    <x:row r="110">
      <x:c r="A110" s="37"/>
      <x:c r="B110" s="12"/>
      <x:c r="C110" s="12"/>
      <x:c r="D110" s="12"/>
      <x:c r="E110" s="12"/>
      <x:c r="F110" s="12"/>
      <x:c r="G110" s="12"/>
      <x:c r="H110" s="12"/>
      <x:c r="I110" s="12"/>
    </x:row>
    <x:row r="111">
      <x:c r="A111" s="37"/>
      <x:c r="B111" s="12"/>
      <x:c r="C111" s="12"/>
      <x:c r="D111" s="12"/>
      <x:c r="E111" s="12"/>
      <x:c r="F111" s="12"/>
      <x:c r="G111" s="12"/>
      <x:c r="H111" s="12"/>
      <x:c r="I111" s="12"/>
    </x:row>
    <x:row r="112">
      <x:c r="A112" s="37"/>
      <x:c r="B112" s="12"/>
      <x:c r="C112" s="12"/>
      <x:c r="D112" s="12"/>
      <x:c r="E112" s="12"/>
      <x:c r="F112" s="12"/>
      <x:c r="G112" s="12"/>
      <x:c r="H112" s="12"/>
      <x:c r="I112" s="12"/>
    </x:row>
    <x:row r="113">
      <x:c r="A113" s="37"/>
      <x:c r="B113" s="12"/>
      <x:c r="C113" s="12"/>
      <x:c r="D113" s="12"/>
      <x:c r="E113" s="12"/>
      <x:c r="F113" s="12"/>
      <x:c r="G113" s="12"/>
      <x:c r="H113" s="12"/>
      <x:c r="I113" s="12"/>
    </x:row>
    <x:row r="114">
      <x:c r="A114" s="37"/>
      <x:c r="B114" s="12"/>
      <x:c r="C114" s="12"/>
      <x:c r="D114" s="12"/>
      <x:c r="E114" s="12"/>
      <x:c r="F114" s="12"/>
      <x:c r="G114" s="12"/>
      <x:c r="H114" s="12"/>
      <x:c r="I114" s="12"/>
    </x:row>
    <x:row r="115">
      <x:c r="A115" s="37"/>
      <x:c r="B115" s="12"/>
      <x:c r="C115" s="12"/>
      <x:c r="D115" s="12"/>
      <x:c r="E115" s="12"/>
      <x:c r="F115" s="12"/>
      <x:c r="G115" s="12"/>
      <x:c r="H115" s="12"/>
      <x:c r="I115" s="12"/>
    </x:row>
    <x:row r="116">
      <x:c r="A116" s="37"/>
      <x:c r="B116" s="12"/>
      <x:c r="C116" s="12"/>
      <x:c r="D116" s="12"/>
      <x:c r="E116" s="12"/>
      <x:c r="F116" s="12"/>
      <x:c r="G116" s="12"/>
      <x:c r="H116" s="12"/>
      <x:c r="I116" s="12"/>
    </x:row>
    <x:row r="117">
      <x:c r="A117" s="37"/>
      <x:c r="B117" s="12"/>
      <x:c r="C117" s="12"/>
      <x:c r="D117" s="12"/>
      <x:c r="E117" s="12"/>
      <x:c r="F117" s="12"/>
      <x:c r="G117" s="12"/>
      <x:c r="H117" s="12"/>
      <x:c r="I117" s="12"/>
    </x:row>
    <x:row r="118">
      <x:c r="A118" s="37"/>
      <x:c r="B118" s="12"/>
      <x:c r="C118" s="12"/>
      <x:c r="D118" s="12"/>
      <x:c r="E118" s="12"/>
      <x:c r="F118" s="12"/>
      <x:c r="G118" s="12"/>
      <x:c r="H118" s="12"/>
      <x:c r="I118" s="12"/>
    </x:row>
    <x:row r="119">
      <x:c r="A119" s="37"/>
      <x:c r="B119" s="12"/>
      <x:c r="C119" s="12"/>
      <x:c r="D119" s="12"/>
      <x:c r="E119" s="12"/>
      <x:c r="F119" s="12"/>
      <x:c r="G119" s="12"/>
      <x:c r="H119" s="12"/>
      <x:c r="I119" s="12"/>
    </x:row>
    <x:row r="120">
      <x:c r="A120" s="37"/>
      <x:c r="B120" s="12"/>
      <x:c r="C120" s="12"/>
      <x:c r="D120" s="12"/>
      <x:c r="E120" s="12"/>
      <x:c r="F120" s="12"/>
      <x:c r="G120" s="12"/>
      <x:c r="H120" s="12"/>
      <x:c r="I120" s="12"/>
    </x:row>
    <x:row r="121">
      <x:c r="A121" s="37"/>
      <x:c r="B121" s="12"/>
      <x:c r="C121" s="12"/>
      <x:c r="D121" s="12"/>
      <x:c r="E121" s="12"/>
      <x:c r="F121" s="12"/>
      <x:c r="G121" s="12"/>
      <x:c r="H121" s="12"/>
      <x:c r="I121" s="12"/>
    </x:row>
    <x:row r="122">
      <x:c r="A122" s="37"/>
      <x:c r="B122" s="12"/>
      <x:c r="C122" s="12"/>
      <x:c r="D122" s="12"/>
      <x:c r="E122" s="12"/>
      <x:c r="F122" s="12"/>
      <x:c r="G122" s="12"/>
      <x:c r="H122" s="12"/>
      <x:c r="I122" s="12"/>
    </x:row>
    <x:row r="123">
      <x:c r="A123" s="37"/>
      <x:c r="B123" s="12"/>
      <x:c r="C123" s="12"/>
      <x:c r="D123" s="12"/>
      <x:c r="E123" s="12"/>
      <x:c r="F123" s="12"/>
      <x:c r="G123" s="12"/>
      <x:c r="H123" s="12"/>
      <x:c r="I123" s="12"/>
    </x:row>
    <x:row r="124">
      <x:c r="A124" s="37"/>
      <x:c r="B124" s="12"/>
      <x:c r="C124" s="12"/>
      <x:c r="D124" s="12"/>
      <x:c r="E124" s="12"/>
      <x:c r="F124" s="12"/>
      <x:c r="G124" s="12"/>
      <x:c r="H124" s="12"/>
      <x:c r="I124" s="12"/>
    </x:row>
    <x:row r="125">
      <x:c r="A125" s="37"/>
      <x:c r="B125" s="12"/>
      <x:c r="C125" s="12"/>
      <x:c r="D125" s="12"/>
      <x:c r="E125" s="12"/>
      <x:c r="F125" s="12"/>
      <x:c r="G125" s="12"/>
      <x:c r="H125" s="12"/>
      <x:c r="I125" s="12"/>
    </x:row>
    <x:row r="126">
      <x:c r="A126" s="37"/>
      <x:c r="B126" s="12"/>
      <x:c r="C126" s="12"/>
      <x:c r="D126" s="12"/>
      <x:c r="E126" s="12"/>
      <x:c r="F126" s="12"/>
      <x:c r="G126" s="12"/>
      <x:c r="H126" s="12"/>
      <x:c r="I126" s="12"/>
    </x:row>
    <x:row r="127">
      <x:c r="A127" s="37"/>
      <x:c r="B127" s="12"/>
      <x:c r="C127" s="12"/>
      <x:c r="D127" s="12"/>
      <x:c r="E127" s="12"/>
      <x:c r="F127" s="12"/>
      <x:c r="G127" s="12"/>
      <x:c r="H127" s="12"/>
      <x:c r="I127" s="12"/>
    </x:row>
    <x:row r="128">
      <x:c r="A128" s="37"/>
      <x:c r="B128" s="12"/>
      <x:c r="C128" s="12"/>
      <x:c r="D128" s="12"/>
      <x:c r="E128" s="12"/>
      <x:c r="F128" s="12"/>
      <x:c r="G128" s="12"/>
      <x:c r="H128" s="12"/>
      <x:c r="I128" s="12"/>
    </x:row>
    <x:row r="129">
      <x:c r="A129" s="37"/>
      <x:c r="B129" s="12"/>
      <x:c r="C129" s="12"/>
      <x:c r="D129" s="12"/>
      <x:c r="E129" s="12"/>
      <x:c r="F129" s="12"/>
      <x:c r="G129" s="12"/>
      <x:c r="H129" s="12"/>
      <x:c r="I129" s="12"/>
    </x:row>
    <x:row r="130">
      <x:c r="A130" s="37"/>
      <x:c r="B130" s="12"/>
      <x:c r="C130" s="12"/>
      <x:c r="D130" s="12"/>
      <x:c r="E130" s="12"/>
      <x:c r="F130" s="12"/>
      <x:c r="G130" s="12"/>
      <x:c r="H130" s="12"/>
      <x:c r="I130" s="12"/>
    </x:row>
    <x:row r="131">
      <x:c r="A131" s="37"/>
      <x:c r="B131" s="12"/>
      <x:c r="C131" s="12"/>
      <x:c r="D131" s="12"/>
      <x:c r="E131" s="12"/>
      <x:c r="F131" s="12"/>
      <x:c r="G131" s="12"/>
      <x:c r="H131" s="12"/>
      <x:c r="I131" s="12"/>
    </x:row>
    <x:row r="132">
      <x:c r="A132" s="37"/>
      <x:c r="B132" s="12"/>
      <x:c r="C132" s="12"/>
      <x:c r="D132" s="12"/>
      <x:c r="E132" s="12"/>
      <x:c r="F132" s="12"/>
      <x:c r="G132" s="12"/>
      <x:c r="H132" s="12"/>
      <x:c r="I132" s="12"/>
    </x:row>
    <x:row r="133">
      <x:c r="A133" s="37"/>
      <x:c r="B133" s="12"/>
      <x:c r="C133" s="12"/>
      <x:c r="D133" s="12"/>
      <x:c r="E133" s="12"/>
      <x:c r="F133" s="12"/>
      <x:c r="G133" s="12"/>
      <x:c r="H133" s="12"/>
      <x:c r="I133" s="12"/>
    </x:row>
    <x:row r="134">
      <x:c r="A134" s="37"/>
      <x:c r="B134" s="12"/>
      <x:c r="C134" s="12"/>
      <x:c r="D134" s="12"/>
      <x:c r="E134" s="12"/>
      <x:c r="F134" s="12"/>
      <x:c r="G134" s="12"/>
      <x:c r="H134" s="12"/>
      <x:c r="I134" s="12"/>
    </x:row>
    <x:row r="135">
      <x:c r="A135" s="37"/>
      <x:c r="B135" s="12"/>
      <x:c r="C135" s="12"/>
      <x:c r="D135" s="12"/>
      <x:c r="E135" s="12"/>
      <x:c r="F135" s="12"/>
      <x:c r="G135" s="12"/>
      <x:c r="H135" s="12"/>
      <x:c r="I135" s="12"/>
    </x:row>
    <x:row r="136">
      <x:c r="A136" s="37"/>
      <x:c r="B136" s="12"/>
      <x:c r="C136" s="12"/>
      <x:c r="D136" s="12"/>
      <x:c r="E136" s="12"/>
      <x:c r="F136" s="12"/>
      <x:c r="G136" s="12"/>
      <x:c r="H136" s="12"/>
      <x:c r="I136" s="12"/>
    </x:row>
    <x:row r="137">
      <x:c r="A137" s="37"/>
      <x:c r="B137" s="12"/>
      <x:c r="C137" s="12"/>
      <x:c r="D137" s="12"/>
      <x:c r="E137" s="12"/>
      <x:c r="F137" s="12"/>
      <x:c r="G137" s="12"/>
      <x:c r="H137" s="12"/>
      <x:c r="I137" s="12"/>
    </x:row>
    <x:row r="138">
      <x:c r="A138" s="37"/>
      <x:c r="B138" s="12"/>
      <x:c r="C138" s="12"/>
      <x:c r="D138" s="12"/>
      <x:c r="E138" s="12"/>
      <x:c r="F138" s="12"/>
      <x:c r="G138" s="12"/>
      <x:c r="H138" s="12"/>
      <x:c r="I138" s="12"/>
    </x:row>
    <x:row r="139">
      <x:c r="A139" s="37"/>
      <x:c r="B139" s="12"/>
      <x:c r="C139" s="12"/>
      <x:c r="D139" s="12"/>
      <x:c r="E139" s="12"/>
      <x:c r="F139" s="12"/>
      <x:c r="G139" s="12"/>
      <x:c r="H139" s="12"/>
      <x:c r="I139" s="12"/>
    </x:row>
    <x:row r="140">
      <x:c r="A140" s="37"/>
      <x:c r="B140" s="12"/>
      <x:c r="C140" s="12"/>
      <x:c r="D140" s="12"/>
      <x:c r="E140" s="12"/>
      <x:c r="F140" s="12"/>
      <x:c r="G140" s="12"/>
      <x:c r="H140" s="12"/>
      <x:c r="I140" s="12"/>
    </x:row>
    <x:row r="141">
      <x:c r="A141" s="37"/>
      <x:c r="B141" s="12"/>
      <x:c r="C141" s="12"/>
      <x:c r="D141" s="12"/>
      <x:c r="E141" s="12"/>
      <x:c r="F141" s="12"/>
      <x:c r="G141" s="12"/>
      <x:c r="H141" s="12"/>
      <x:c r="I141" s="12"/>
    </x:row>
    <x:row r="142">
      <x:c r="A142" s="37"/>
      <x:c r="B142" s="12"/>
      <x:c r="C142" s="12"/>
      <x:c r="D142" s="12"/>
      <x:c r="E142" s="12"/>
      <x:c r="F142" s="12"/>
      <x:c r="G142" s="12"/>
      <x:c r="H142" s="12"/>
      <x:c r="I142" s="12"/>
    </x:row>
    <x:row r="143">
      <x:c r="A143" s="37"/>
      <x:c r="B143" s="12"/>
      <x:c r="C143" s="12"/>
      <x:c r="D143" s="12"/>
      <x:c r="E143" s="12"/>
      <x:c r="F143" s="12"/>
      <x:c r="G143" s="12"/>
      <x:c r="H143" s="12"/>
      <x:c r="I143" s="12"/>
    </x:row>
    <x:row r="144">
      <x:c r="A144" s="37"/>
      <x:c r="B144" s="12"/>
      <x:c r="C144" s="12"/>
      <x:c r="D144" s="12"/>
      <x:c r="E144" s="12"/>
      <x:c r="F144" s="12"/>
      <x:c r="G144" s="12"/>
      <x:c r="H144" s="12"/>
      <x:c r="I144" s="12"/>
    </x:row>
    <x:row r="145">
      <x:c r="A145" s="37"/>
      <x:c r="B145" s="12"/>
      <x:c r="C145" s="12"/>
      <x:c r="D145" s="12"/>
      <x:c r="E145" s="12"/>
      <x:c r="F145" s="12"/>
      <x:c r="G145" s="12"/>
      <x:c r="H145" s="12"/>
      <x:c r="I145" s="12"/>
    </x:row>
    <x:row r="146">
      <x:c r="A146" s="37"/>
      <x:c r="B146" s="12"/>
      <x:c r="C146" s="12"/>
      <x:c r="D146" s="12"/>
      <x:c r="E146" s="12"/>
      <x:c r="F146" s="12"/>
      <x:c r="G146" s="12"/>
      <x:c r="H146" s="12"/>
      <x:c r="I146" s="12"/>
    </x:row>
    <x:row r="147">
      <x:c r="A147" s="37"/>
      <x:c r="B147" s="12"/>
      <x:c r="C147" s="12"/>
      <x:c r="D147" s="12"/>
      <x:c r="E147" s="12"/>
      <x:c r="F147" s="12"/>
      <x:c r="G147" s="12"/>
      <x:c r="H147" s="12"/>
      <x:c r="I147" s="12"/>
    </x:row>
    <x:row r="148">
      <x:c r="A148" s="37"/>
      <x:c r="B148" s="12"/>
      <x:c r="C148" s="12"/>
      <x:c r="D148" s="12"/>
      <x:c r="E148" s="12"/>
      <x:c r="F148" s="12"/>
      <x:c r="G148" s="12"/>
      <x:c r="H148" s="12"/>
      <x:c r="I148" s="12"/>
    </x:row>
    <x:row r="149">
      <x:c r="A149" s="37"/>
      <x:c r="B149" s="12"/>
      <x:c r="C149" s="12"/>
      <x:c r="D149" s="12"/>
      <x:c r="E149" s="12"/>
      <x:c r="F149" s="12"/>
      <x:c r="G149" s="12"/>
      <x:c r="H149" s="12"/>
      <x:c r="I149" s="12"/>
    </x:row>
    <x:row r="150">
      <x:c r="A150" s="37"/>
      <x:c r="B150" s="12"/>
      <x:c r="C150" s="12"/>
      <x:c r="D150" s="12"/>
      <x:c r="E150" s="12"/>
      <x:c r="F150" s="12"/>
      <x:c r="G150" s="12"/>
      <x:c r="H150" s="12"/>
      <x:c r="I150" s="12"/>
    </x:row>
    <x:row r="151">
      <x:c r="A151" s="37"/>
      <x:c r="B151" s="12"/>
      <x:c r="C151" s="12"/>
      <x:c r="D151" s="12"/>
      <x:c r="E151" s="12"/>
      <x:c r="F151" s="12"/>
      <x:c r="G151" s="12"/>
      <x:c r="H151" s="12"/>
      <x:c r="I151" s="12"/>
    </x:row>
    <x:row r="152">
      <x:c r="A152" s="37"/>
      <x:c r="B152" s="12"/>
      <x:c r="C152" s="12"/>
      <x:c r="D152" s="12"/>
      <x:c r="E152" s="12"/>
      <x:c r="F152" s="12"/>
      <x:c r="G152" s="12"/>
      <x:c r="H152" s="12"/>
      <x:c r="I152" s="12"/>
    </x:row>
    <x:row r="153">
      <x:c r="A153" s="37"/>
      <x:c r="B153" s="12"/>
      <x:c r="C153" s="12"/>
      <x:c r="D153" s="12"/>
      <x:c r="E153" s="12"/>
      <x:c r="F153" s="12"/>
      <x:c r="G153" s="12"/>
      <x:c r="H153" s="12"/>
      <x:c r="I153" s="12"/>
    </x:row>
    <x:row r="154">
      <x:c r="A154" s="37"/>
      <x:c r="B154" s="12"/>
      <x:c r="C154" s="12"/>
      <x:c r="D154" s="12"/>
      <x:c r="E154" s="12"/>
      <x:c r="F154" s="12"/>
      <x:c r="G154" s="12"/>
      <x:c r="H154" s="12"/>
      <x:c r="I154" s="12"/>
    </x:row>
    <x:row r="155">
      <x:c r="A155" s="37"/>
      <x:c r="B155" s="12"/>
      <x:c r="C155" s="12"/>
      <x:c r="D155" s="12"/>
      <x:c r="E155" s="12"/>
      <x:c r="F155" s="12"/>
      <x:c r="G155" s="12"/>
      <x:c r="H155" s="12"/>
      <x:c r="I155" s="12"/>
    </x:row>
    <x:row r="156">
      <x:c r="A156" s="37"/>
      <x:c r="B156" s="12"/>
      <x:c r="C156" s="12"/>
      <x:c r="D156" s="12"/>
      <x:c r="E156" s="12"/>
      <x:c r="F156" s="12"/>
      <x:c r="G156" s="12"/>
      <x:c r="H156" s="12"/>
      <x:c r="I156" s="12"/>
    </x:row>
    <x:row r="157">
      <x:c r="A157" s="37"/>
      <x:c r="B157" s="12"/>
      <x:c r="C157" s="12"/>
      <x:c r="D157" s="12"/>
      <x:c r="E157" s="12"/>
      <x:c r="F157" s="12"/>
      <x:c r="G157" s="12"/>
      <x:c r="H157" s="12"/>
      <x:c r="I157" s="12"/>
    </x:row>
    <x:row r="158">
      <x:c r="A158" s="37"/>
      <x:c r="B158" s="12"/>
      <x:c r="C158" s="12"/>
      <x:c r="D158" s="12"/>
      <x:c r="E158" s="12"/>
      <x:c r="F158" s="12"/>
      <x:c r="G158" s="12"/>
      <x:c r="H158" s="12"/>
      <x:c r="I158" s="12"/>
    </x:row>
    <x:row r="159">
      <x:c r="A159" s="37"/>
      <x:c r="B159" s="12"/>
      <x:c r="C159" s="12"/>
      <x:c r="D159" s="12"/>
      <x:c r="E159" s="12"/>
      <x:c r="F159" s="12"/>
      <x:c r="G159" s="12"/>
      <x:c r="H159" s="12"/>
      <x:c r="I159" s="12"/>
    </x:row>
    <x:row r="160">
      <x:c r="A160" s="37"/>
      <x:c r="B160" s="12"/>
      <x:c r="C160" s="12"/>
      <x:c r="D160" s="12"/>
      <x:c r="E160" s="12"/>
      <x:c r="F160" s="12"/>
      <x:c r="G160" s="12"/>
      <x:c r="H160" s="12"/>
      <x:c r="I160" s="12"/>
    </x:row>
    <x:row r="161">
      <x:c r="A161" s="37"/>
      <x:c r="B161" s="12"/>
      <x:c r="C161" s="12"/>
      <x:c r="D161" s="12"/>
      <x:c r="E161" s="12"/>
      <x:c r="F161" s="12"/>
      <x:c r="G161" s="12"/>
      <x:c r="H161" s="12"/>
      <x:c r="I161" s="12"/>
    </x:row>
    <x:row r="162">
      <x:c r="A162" s="37"/>
      <x:c r="B162" s="12"/>
      <x:c r="C162" s="12"/>
      <x:c r="D162" s="12"/>
      <x:c r="E162" s="12"/>
      <x:c r="F162" s="12"/>
      <x:c r="G162" s="12"/>
      <x:c r="H162" s="12"/>
      <x:c r="I162" s="12"/>
    </x:row>
    <x:row r="163">
      <x:c r="A163" s="37"/>
      <x:c r="B163" s="12"/>
      <x:c r="C163" s="12"/>
      <x:c r="D163" s="12"/>
      <x:c r="E163" s="12"/>
      <x:c r="F163" s="12"/>
      <x:c r="G163" s="12"/>
      <x:c r="H163" s="12"/>
      <x:c r="I163" s="12"/>
    </x:row>
    <x:row r="164">
      <x:c r="A164" s="37"/>
      <x:c r="B164" s="12"/>
      <x:c r="C164" s="12"/>
      <x:c r="D164" s="12"/>
      <x:c r="E164" s="12"/>
      <x:c r="F164" s="12"/>
      <x:c r="G164" s="12"/>
      <x:c r="H164" s="12"/>
      <x:c r="I164" s="12"/>
    </x:row>
    <x:row r="165">
      <x:c r="A165" s="37"/>
      <x:c r="B165" s="12"/>
      <x:c r="C165" s="12"/>
      <x:c r="D165" s="12"/>
      <x:c r="E165" s="12"/>
      <x:c r="F165" s="12"/>
      <x:c r="G165" s="12"/>
      <x:c r="H165" s="12"/>
      <x:c r="I165" s="12"/>
    </x:row>
    <x:row r="166">
      <x:c r="A166" s="37"/>
      <x:c r="B166" s="12"/>
      <x:c r="C166" s="12"/>
      <x:c r="D166" s="12"/>
      <x:c r="E166" s="12"/>
      <x:c r="F166" s="12"/>
      <x:c r="G166" s="12"/>
      <x:c r="H166" s="12"/>
      <x:c r="I166" s="12"/>
    </x:row>
    <x:row r="167">
      <x:c r="A167" s="37"/>
      <x:c r="B167" s="12"/>
      <x:c r="C167" s="12"/>
      <x:c r="D167" s="12"/>
      <x:c r="E167" s="12"/>
      <x:c r="F167" s="12"/>
      <x:c r="G167" s="12"/>
      <x:c r="H167" s="12"/>
      <x:c r="I167" s="12"/>
    </x:row>
    <x:row r="168">
      <x:c r="A168" s="37"/>
      <x:c r="B168" s="12"/>
      <x:c r="C168" s="12"/>
      <x:c r="D168" s="12"/>
      <x:c r="E168" s="12"/>
      <x:c r="F168" s="12"/>
      <x:c r="G168" s="12"/>
      <x:c r="H168" s="12"/>
      <x:c r="I168" s="12"/>
    </x:row>
    <x:row r="169">
      <x:c r="A169" s="37"/>
      <x:c r="B169" s="12"/>
      <x:c r="C169" s="12"/>
      <x:c r="D169" s="12"/>
      <x:c r="E169" s="12"/>
      <x:c r="F169" s="12"/>
      <x:c r="G169" s="12"/>
      <x:c r="H169" s="12"/>
      <x:c r="I169" s="12"/>
    </x:row>
    <x:row r="170">
      <x:c r="A170" s="37"/>
      <x:c r="B170" s="12"/>
      <x:c r="C170" s="12"/>
      <x:c r="D170" s="12"/>
      <x:c r="E170" s="12"/>
      <x:c r="F170" s="12"/>
      <x:c r="G170" s="12"/>
      <x:c r="H170" s="12"/>
      <x:c r="I170" s="12"/>
    </x:row>
    <x:row r="171">
      <x:c r="A171" s="37"/>
      <x:c r="B171" s="12"/>
      <x:c r="C171" s="12"/>
      <x:c r="D171" s="12"/>
      <x:c r="E171" s="12"/>
      <x:c r="F171" s="12"/>
      <x:c r="G171" s="12"/>
      <x:c r="H171" s="12"/>
      <x:c r="I171" s="12"/>
    </x:row>
    <x:row r="172">
      <x:c r="A172" s="37"/>
      <x:c r="B172" s="12"/>
      <x:c r="C172" s="12"/>
      <x:c r="D172" s="12"/>
      <x:c r="E172" s="12"/>
      <x:c r="F172" s="12"/>
      <x:c r="G172" s="12"/>
      <x:c r="H172" s="12"/>
      <x:c r="I172" s="12"/>
    </x:row>
    <x:row r="173">
      <x:c r="A173" s="37"/>
      <x:c r="B173" s="12"/>
      <x:c r="C173" s="12"/>
      <x:c r="D173" s="12"/>
      <x:c r="E173" s="12"/>
      <x:c r="F173" s="12"/>
      <x:c r="G173" s="12"/>
      <x:c r="H173" s="12"/>
      <x:c r="I173" s="12"/>
    </x:row>
    <x:row r="174">
      <x:c r="A174" s="37"/>
      <x:c r="B174" s="12"/>
      <x:c r="C174" s="12"/>
      <x:c r="D174" s="12"/>
      <x:c r="E174" s="12"/>
      <x:c r="F174" s="12"/>
      <x:c r="G174" s="12"/>
      <x:c r="H174" s="12"/>
      <x:c r="I174" s="12"/>
    </x:row>
    <x:row r="175">
      <x:c r="A175" s="37"/>
      <x:c r="B175" s="12"/>
      <x:c r="C175" s="12"/>
      <x:c r="D175" s="12"/>
      <x:c r="E175" s="12"/>
      <x:c r="F175" s="12"/>
      <x:c r="G175" s="12"/>
      <x:c r="H175" s="12"/>
      <x:c r="I175" s="12"/>
    </x:row>
    <x:row r="176">
      <x:c r="A176" s="37"/>
      <x:c r="B176" s="12"/>
      <x:c r="C176" s="12"/>
      <x:c r="D176" s="12"/>
      <x:c r="E176" s="12"/>
      <x:c r="F176" s="12"/>
      <x:c r="G176" s="12"/>
      <x:c r="H176" s="12"/>
      <x:c r="I176" s="12"/>
    </x:row>
    <x:row r="177">
      <x:c r="A177" s="37"/>
      <x:c r="B177" s="12"/>
      <x:c r="C177" s="12"/>
      <x:c r="D177" s="12"/>
      <x:c r="E177" s="12"/>
      <x:c r="F177" s="12"/>
      <x:c r="G177" s="12"/>
      <x:c r="H177" s="12"/>
      <x:c r="I177" s="12"/>
    </x:row>
    <x:row r="178">
      <x:c r="A178" s="37"/>
      <x:c r="B178" s="12"/>
      <x:c r="C178" s="12"/>
      <x:c r="D178" s="12"/>
      <x:c r="E178" s="12"/>
      <x:c r="F178" s="12"/>
      <x:c r="G178" s="12"/>
      <x:c r="H178" s="12"/>
      <x:c r="I178" s="12"/>
    </x:row>
    <x:row r="179">
      <x:c r="A179" s="37"/>
      <x:c r="B179" s="12"/>
      <x:c r="C179" s="12"/>
      <x:c r="D179" s="12"/>
      <x:c r="E179" s="12"/>
      <x:c r="F179" s="12"/>
      <x:c r="G179" s="12"/>
      <x:c r="H179" s="12"/>
      <x:c r="I179" s="12"/>
    </x:row>
    <x:row r="180">
      <x:c r="A180" s="37"/>
      <x:c r="B180" s="12"/>
      <x:c r="C180" s="12"/>
      <x:c r="D180" s="12"/>
      <x:c r="E180" s="12"/>
      <x:c r="F180" s="12"/>
      <x:c r="G180" s="12"/>
      <x:c r="H180" s="12"/>
      <x:c r="I180" s="12"/>
    </x:row>
    <x:row r="181">
      <x:c r="A181" s="37"/>
      <x:c r="B181" s="12"/>
      <x:c r="C181" s="12"/>
      <x:c r="D181" s="12"/>
      <x:c r="E181" s="12"/>
      <x:c r="F181" s="12"/>
      <x:c r="G181" s="12"/>
      <x:c r="H181" s="12"/>
      <x:c r="I181" s="12"/>
    </x:row>
    <x:row r="182">
      <x:c r="A182" s="37"/>
      <x:c r="B182" s="12"/>
      <x:c r="C182" s="12"/>
      <x:c r="D182" s="12"/>
      <x:c r="E182" s="12"/>
      <x:c r="F182" s="12"/>
      <x:c r="G182" s="12"/>
      <x:c r="H182" s="12"/>
      <x:c r="I182" s="12"/>
    </x:row>
    <x:row r="183">
      <x:c r="A183" s="37"/>
      <x:c r="B183" s="12"/>
      <x:c r="C183" s="12"/>
      <x:c r="D183" s="12"/>
      <x:c r="E183" s="12"/>
      <x:c r="F183" s="12"/>
      <x:c r="G183" s="12"/>
      <x:c r="H183" s="12"/>
      <x:c r="I183" s="12"/>
    </x:row>
    <x:row r="184">
      <x:c r="A184" s="37"/>
      <x:c r="B184" s="12"/>
      <x:c r="C184" s="12"/>
      <x:c r="D184" s="12"/>
      <x:c r="E184" s="12"/>
      <x:c r="F184" s="12"/>
      <x:c r="G184" s="12"/>
      <x:c r="H184" s="12"/>
      <x:c r="I184" s="12"/>
    </x:row>
    <x:row r="185">
      <x:c r="A185" s="37"/>
      <x:c r="B185" s="12"/>
      <x:c r="C185" s="12"/>
      <x:c r="D185" s="12"/>
      <x:c r="E185" s="12"/>
      <x:c r="F185" s="12"/>
      <x:c r="G185" s="12"/>
      <x:c r="H185" s="12"/>
      <x:c r="I185" s="12"/>
    </x:row>
    <x:row r="186">
      <x:c r="A186" s="37"/>
      <x:c r="B186" s="12"/>
      <x:c r="C186" s="12"/>
      <x:c r="D186" s="12"/>
      <x:c r="E186" s="12"/>
      <x:c r="F186" s="12"/>
      <x:c r="G186" s="12"/>
      <x:c r="H186" s="12"/>
      <x:c r="I186" s="12"/>
    </x:row>
    <x:row r="187">
      <x:c r="A187" s="37"/>
      <x:c r="B187" s="12"/>
      <x:c r="C187" s="12"/>
      <x:c r="D187" s="12"/>
      <x:c r="E187" s="12"/>
      <x:c r="F187" s="12"/>
      <x:c r="G187" s="12"/>
      <x:c r="H187" s="12"/>
      <x:c r="I187" s="12"/>
    </x:row>
    <x:row r="188">
      <x:c r="A188" s="37"/>
      <x:c r="B188" s="12"/>
      <x:c r="C188" s="12"/>
      <x:c r="D188" s="12"/>
      <x:c r="E188" s="12"/>
      <x:c r="F188" s="12"/>
      <x:c r="G188" s="12"/>
      <x:c r="H188" s="12"/>
      <x:c r="I188" s="12"/>
    </x:row>
    <x:row r="189">
      <x:c r="A189" s="37"/>
      <x:c r="B189" s="12"/>
      <x:c r="C189" s="12"/>
      <x:c r="D189" s="12"/>
      <x:c r="E189" s="12"/>
      <x:c r="F189" s="12"/>
      <x:c r="G189" s="12"/>
      <x:c r="H189" s="12"/>
      <x:c r="I189" s="12"/>
    </x:row>
    <x:row r="190">
      <x:c r="A190" s="37"/>
      <x:c r="B190" s="12"/>
      <x:c r="C190" s="12"/>
      <x:c r="D190" s="12"/>
      <x:c r="E190" s="12"/>
      <x:c r="F190" s="12"/>
      <x:c r="G190" s="12"/>
      <x:c r="H190" s="12"/>
      <x:c r="I190" s="12"/>
    </x:row>
    <x:row r="191">
      <x:c r="A191" s="37"/>
      <x:c r="B191" s="12"/>
      <x:c r="C191" s="12"/>
      <x:c r="D191" s="12"/>
      <x:c r="E191" s="12"/>
      <x:c r="F191" s="12"/>
      <x:c r="G191" s="12"/>
      <x:c r="H191" s="12"/>
      <x:c r="I191" s="12"/>
    </x:row>
    <x:row r="192">
      <x:c r="A192" s="37"/>
      <x:c r="B192" s="12"/>
      <x:c r="C192" s="12"/>
      <x:c r="D192" s="12"/>
      <x:c r="E192" s="12"/>
      <x:c r="F192" s="12"/>
      <x:c r="G192" s="12"/>
      <x:c r="H192" s="12"/>
      <x:c r="I192" s="12"/>
    </x:row>
    <x:row r="193">
      <x:c r="A193" s="37"/>
      <x:c r="B193" s="12"/>
      <x:c r="C193" s="12"/>
      <x:c r="D193" s="12"/>
      <x:c r="E193" s="12"/>
      <x:c r="F193" s="12"/>
      <x:c r="G193" s="12"/>
      <x:c r="H193" s="12"/>
      <x:c r="I193" s="12"/>
    </x:row>
    <x:row r="194">
      <x:c r="A194" s="37"/>
      <x:c r="B194" s="12"/>
      <x:c r="C194" s="12"/>
      <x:c r="D194" s="12"/>
      <x:c r="E194" s="12"/>
      <x:c r="F194" s="12"/>
      <x:c r="G194" s="12"/>
      <x:c r="H194" s="12"/>
      <x:c r="I194" s="12"/>
    </x:row>
    <x:row r="195">
      <x:c r="A195" s="37"/>
      <x:c r="B195" s="12"/>
      <x:c r="C195" s="12"/>
      <x:c r="D195" s="12"/>
      <x:c r="E195" s="12"/>
      <x:c r="F195" s="12"/>
      <x:c r="G195" s="12"/>
      <x:c r="H195" s="12"/>
      <x:c r="I195" s="12"/>
    </x:row>
    <x:row r="196">
      <x:c r="A196" s="37"/>
      <x:c r="B196" s="12"/>
      <x:c r="C196" s="12"/>
      <x:c r="D196" s="12"/>
      <x:c r="E196" s="12"/>
      <x:c r="F196" s="12"/>
      <x:c r="G196" s="12"/>
      <x:c r="H196" s="12"/>
      <x:c r="I196" s="12"/>
    </x:row>
    <x:row r="197">
      <x:c r="A197" s="37"/>
      <x:c r="B197" s="12"/>
      <x:c r="C197" s="12"/>
      <x:c r="D197" s="12"/>
      <x:c r="E197" s="12"/>
      <x:c r="F197" s="12"/>
      <x:c r="G197" s="12"/>
      <x:c r="H197" s="12"/>
      <x:c r="I197" s="12"/>
    </x:row>
    <x:row r="198">
      <x:c r="A198" s="37"/>
      <x:c r="B198" s="12"/>
      <x:c r="C198" s="12"/>
      <x:c r="D198" s="12"/>
      <x:c r="E198" s="12"/>
      <x:c r="F198" s="12"/>
      <x:c r="G198" s="12"/>
      <x:c r="H198" s="12"/>
      <x:c r="I198" s="12"/>
    </x:row>
    <x:row r="199">
      <x:c r="A199" s="37"/>
      <x:c r="B199" s="12"/>
      <x:c r="C199" s="12"/>
      <x:c r="D199" s="12"/>
      <x:c r="E199" s="12"/>
      <x:c r="F199" s="12"/>
      <x:c r="G199" s="12"/>
      <x:c r="H199" s="12"/>
      <x:c r="I199" s="12"/>
    </x:row>
    <x:row r="200">
      <x:c r="A200" s="37"/>
      <x:c r="B200" s="12"/>
      <x:c r="C200" s="12"/>
      <x:c r="D200" s="12"/>
      <x:c r="E200" s="12"/>
      <x:c r="F200" s="12"/>
      <x:c r="G200" s="12"/>
      <x:c r="H200" s="12"/>
      <x:c r="I200" s="12"/>
    </x:row>
  </x:sheetData>
  <x:dataValidations count="5">
    <x:dataValidation type="list" sqref="C2:C200">
      <x:formula1>"Proceed,Iterate,Park,Kill"</x:formula1>
    </x:dataValidation>
    <x:dataValidation type="list" sqref="F2:F200">
      <x:formula1>"Yes,No,Partially"</x:formula1>
    </x:dataValidation>
    <x:dataValidation type="list" sqref="G2:G200">
      <x:formula1>"Cheick,Codex,GPT,TBD"</x:formula1>
    </x:dataValidation>
    <x:dataValidation type="list" sqref="F13">
      <x:formula1>"Yes,No"</x:formula1>
    </x:dataValidation>
    <x:dataValidation type="list" sqref="G13">
      <x:formula1>"Cheick,Codex,GPT,TBD"</x:formula1>
    </x:dataValidation>
  </x:dataValidations>
  <x:pageMargins left="0.7" right="0.7" top="0.75" bottom="0.75" header="0.3" footer="0.3"/>
  <x:tableParts count="1">
    <x:tablePart xmlns:r="http://schemas.openxmlformats.org/officeDocument/2006/relationships" r:id="R8990df5cec694938"/>
  </x:tableParts>
</x:worksheet>
</file>

<file path=xl/worksheets/sheet4.xml><?xml version="1.0" encoding="utf-8"?>
<x:worksheet xmlns:x="http://schemas.openxmlformats.org/spreadsheetml/2006/main">
  <x:sheetFormatPr defaultRowHeight="15"/>
  <x:cols>
    <x:col min="1" max="1" width="5.75" hidden="0" customWidth="1"/>
    <x:col min="2" max="2" width="11.130000114440918" hidden="0" customWidth="1"/>
    <x:col min="3" max="3" width="38" hidden="0" customWidth="1"/>
    <x:col min="4" max="4" width="8.880000114440918" hidden="0" customWidth="1"/>
    <x:col min="5" max="5" width="8.880000114440918" hidden="0" customWidth="1"/>
    <x:col min="6" max="6" width="44" hidden="0" customWidth="1"/>
    <x:col min="7" max="7" width="36" hidden="0" customWidth="1"/>
    <x:col min="8" max="8" width="7.5" hidden="0" customWidth="1"/>
    <x:col min="9" max="9" width="9.5" hidden="0" customWidth="1"/>
  </x:cols>
  <x:sheetData>
    <x:row r="1" ht="30" customHeight="1">
      <x:c r="A1" s="6" t="str">
        <x:v>Risk ID</x:v>
      </x:c>
      <x:c r="B1" s="6" t="str">
        <x:v>Area</x:v>
      </x:c>
      <x:c r="C1" s="6" t="str">
        <x:v>Risk</x:v>
      </x:c>
      <x:c r="D1" s="6" t="str">
        <x:v>Likelihood</x:v>
      </x:c>
      <x:c r="E1" s="6" t="str">
        <x:v>Impact</x:v>
      </x:c>
      <x:c r="F1" s="6" t="str">
        <x:v>Mitigation</x:v>
      </x:c>
      <x:c r="G1" s="6" t="str">
        <x:v>Trigger</x:v>
      </x:c>
      <x:c r="H1" s="6" t="str">
        <x:v>Owner</x:v>
      </x:c>
      <x:c r="I1" s="6" t="str">
        <x:v>Status</x:v>
      </x:c>
    </x:row>
    <x:row r="2" ht="26.399999618530273" hidden="0" customHeight="1">
      <x:c r="A2" s="14" t="str">
        <x:v>R1</x:v>
      </x:c>
      <x:c r="B2" s="14" t="str">
        <x:v>Data access</x:v>
      </x:c>
      <x:c r="C2" s="14" t="str">
        <x:v>A command accidentally downloads a huge dataset slice.</x:v>
      </x:c>
      <x:c r="D2" s="14" t="str">
        <x:v>Medium</x:v>
      </x:c>
      <x:c r="E2" s="14" t="str">
        <x:v>High</x:v>
      </x:c>
      <x:c r="F2" s="14" t="str">
        <x:v>Dry-run default, max files, max total size, explicit `--execute`.</x:v>
      </x:c>
      <x:c r="G2" s="14" t="str">
        <x:v>Download plan exceeds threshold or lacks size estimate.</x:v>
      </x:c>
      <x:c r="H2" s="14" t="str">
        <x:v>Codex</x:v>
      </x:c>
      <x:c r="I2" s="14" t="str">
        <x:v>Open</x:v>
      </x:c>
    </x:row>
    <x:row r="3" ht="26.399999618530273" hidden="0" customHeight="1">
      <x:c r="A3" s="14" t="str">
        <x:v>R2</x:v>
      </x:c>
      <x:c r="B3" s="14" t="str">
        <x:v>Data quality</x:v>
      </x:c>
      <x:c r="C3" s="14" t="str">
        <x:v>Events or labels are silently misaligned with signal windows.</x:v>
      </x:c>
      <x:c r="D3" s="14" t="str">
        <x:v>Medium</x:v>
      </x:c>
      <x:c r="E3" s="14" t="str">
        <x:v>High</x:v>
      </x:c>
      <x:c r="F3" s="14" t="str">
        <x:v>Print parsed fields, dropped rows, timestamps, and confidence; add synthetic alignment tests.</x:v>
      </x:c>
      <x:c r="G3" s="14" t="str">
        <x:v>Unexpected offsets, many dropped events, or suspiciously high scores.</x:v>
      </x:c>
      <x:c r="H3" s="14" t="str">
        <x:v>Codex</x:v>
      </x:c>
      <x:c r="I3" s="14" t="str">
        <x:v>Open</x:v>
      </x:c>
    </x:row>
    <x:row r="4" ht="26.399999618530273" hidden="0" customHeight="1">
      <x:c r="A4" s="14" t="str">
        <x:v>R3</x:v>
      </x:c>
      <x:c r="B4" s="14" t="str">
        <x:v>Evaluation</x:v>
      </x:c>
      <x:c r="C4" s="14" t="str">
        <x:v>Language-only baseline explains most apparent progress.</x:v>
      </x:c>
      <x:c r="D4" s="14" t="str">
        <x:v>High</x:v>
      </x:c>
      <x:c r="E4" s="14" t="str">
        <x:v>Medium</x:v>
      </x:c>
      <x:c r="F4" s="14" t="str">
        <x:v>Run LM/prior-only baseline beside every neural result.</x:v>
      </x:c>
      <x:c r="G4" s="14" t="str">
        <x:v>Brain model barely beats prior-only baseline.</x:v>
      </x:c>
      <x:c r="H4" s="14" t="str">
        <x:v>GPT</x:v>
      </x:c>
      <x:c r="I4" s="14" t="str">
        <x:v>Watching</x:v>
      </x:c>
    </x:row>
    <x:row r="5" ht="26.399999618530273" hidden="0" customHeight="1">
      <x:c r="A5" s="14" t="str">
        <x:v>R4</x:v>
      </x:c>
      <x:c r="B5" s="14" t="str">
        <x:v>Overfitting</x:v>
      </x:c>
      <x:c r="C5" s="14" t="str">
        <x:v>Tiny loop overfits one block and looks better than it is.</x:v>
      </x:c>
      <x:c r="D5" s="14" t="str">
        <x:v>High</x:v>
      </x:c>
      <x:c r="E5" s="14" t="str">
        <x:v>Medium</x:v>
      </x:c>
      <x:c r="F5" s="14" t="str">
        <x:v>Add split protocol early; name split type in every report.</x:v>
      </x:c>
      <x:c r="G5" s="14" t="str">
        <x:v>Random split score much higher than session/subject split.</x:v>
      </x:c>
      <x:c r="H5" s="14" t="str">
        <x:v>Codex</x:v>
      </x:c>
      <x:c r="I5" s="14" t="str">
        <x:v>Open</x:v>
      </x:c>
    </x:row>
    <x:row r="6" ht="26.399999618530273" hidden="0" customHeight="1">
      <x:c r="A6" s="14" t="str">
        <x:v>R5</x:v>
      </x:c>
      <x:c r="B6" s="14" t="str">
        <x:v>Licensing</x:v>
      </x:c>
      <x:c r="C6" s="14" t="str">
        <x:v>Research dataset license is accidentally treated as commercial-ready.</x:v>
      </x:c>
      <x:c r="D6" s="14" t="str">
        <x:v>Low</x:v>
      </x:c>
      <x:c r="E6" s="14" t="str">
        <x:v>High</x:v>
      </x:c>
      <x:c r="F6" s="14" t="str">
        <x:v>Keep license notes in docs and generated metadata; avoid commercial claims.</x:v>
      </x:c>
      <x:c r="G6" s="14" t="str">
        <x:v>Repo/readme implies product or clinical use.</x:v>
      </x:c>
      <x:c r="H6" s="14" t="str">
        <x:v>Cheick</x:v>
      </x:c>
      <x:c r="I6" s="14" t="str">
        <x:v>Open</x:v>
      </x:c>
    </x:row>
    <x:row r="7" ht="26.399999618530273" hidden="0" customHeight="1">
      <x:c r="A7" s="14" t="str">
        <x:v>R6</x:v>
      </x:c>
      <x:c r="B7" s="14" t="str">
        <x:v>Dependencies</x:v>
      </x:c>
      <x:c r="C7" s="14" t="str">
        <x:v>Package becomes heavy and fragile too early.</x:v>
      </x:c>
      <x:c r="D7" s="14" t="str">
        <x:v>Medium</x:v>
      </x:c>
      <x:c r="E7" s="14" t="str">
        <x:v>Medium</x:v>
      </x:c>
      <x:c r="F7" s="14" t="str">
        <x:v>Optional extras for neuro/deep/demo dependencies; graceful import errors.</x:v>
      </x:c>
      <x:c r="G7" s="14" t="str">
        <x:v>Basic CLI import requires MNE/Torch/Gradio.</x:v>
      </x:c>
      <x:c r="H7" s="14" t="str">
        <x:v>Codex</x:v>
      </x:c>
      <x:c r="I7" s="14" t="str">
        <x:v>Open</x:v>
      </x:c>
    </x:row>
    <x:row r="8" ht="26.399999618530273" hidden="0" customHeight="1">
      <x:c r="A8" s="14" t="str">
        <x:v>R7</x:v>
      </x:c>
      <x:c r="B8" s="14" t="str">
        <x:v>Narrative</x:v>
      </x:c>
      <x:c r="C8" s="14" t="str">
        <x:v>Demo implies arbitrary thought reading rather than task-specific decoding.</x:v>
      </x:c>
      <x:c r="D8" s="14" t="str">
        <x:v>Medium</x:v>
      </x:c>
      <x:c r="E8" s="14" t="str">
        <x:v>High</x:v>
      </x:c>
      <x:c r="F8" s="14" t="str">
        <x:v>Add limitations copy and avoid clinical/mind-reading claims.</x:v>
      </x:c>
      <x:c r="G8" s="14" t="str">
        <x:v>External writeup overstates capability.</x:v>
      </x:c>
      <x:c r="H8" s="14" t="str">
        <x:v>Cheick</x:v>
      </x:c>
      <x:c r="I8" s="14" t="str">
        <x:v>Watching</x:v>
      </x:c>
    </x:row>
    <x:row r="9" ht="39.599998474121094" hidden="0" customHeight="1">
      <x:c r="A9" s="14" t="str">
        <x:v>R8</x:v>
      </x:c>
      <x:c r="B9" s="14" t="str">
        <x:v>Roadmap</x:v>
      </x:c>
      <x:c r="C9" s="14" t="str">
        <x:v>Public Brain2Qwerty v2 code is mistaken for a locally reproduced v2 result while EnglishBCBL data and required GPU scale remain unavailable.</x:v>
      </x:c>
      <x:c r="D9" s="14" t="str">
        <x:v>Medium</x:v>
      </x:c>
      <x:c r="E9" s="14" t="str">
        <x:v>High</x:v>
      </x:c>
      <x:c r="F9" s="14" t="str">
        <x:v>Treat SpanishBCBL CTC as a small surrogate; cite the official code commit and data embargo; report compute, data, and latency gaps.</x:v>
      </x:c>
      <x:c r="G9" s="14" t="str">
        <x:v>A local smoke metric is compared to the v2 paper, or implementation silently assumes EnglishBCBL or multi-GPU hardware.</x:v>
      </x:c>
      <x:c r="H9" s="14" t="str">
        <x:v>Codex</x:v>
      </x:c>
      <x:c r="I9" s="14" t="str">
        <x:v>Watching</x:v>
      </x:c>
    </x:row>
    <x:row r="10" ht="39.599998474121094" hidden="0" customHeight="1">
      <x:c r="A10" s="12" t="str">
        <x:v>R9</x:v>
      </x:c>
      <x:c r="B10" s="12" t="str">
        <x:v>Hardware accessibility</x:v>
      </x:c>
      <x:c r="C10" s="12" t="str">
        <x:v>Local CPU success is mistaken for at-home sensor readiness; EEG accuracy loss and OPM shielding requirements are ignored.</x:v>
      </x:c>
      <x:c r="D10" s="12" t="str">
        <x:v>High</x:v>
      </x:c>
      <x:c r="E10" s="12" t="str">
        <x:v>High</x:v>
      </x:c>
      <x:c r="F10" s="12" t="str">
        <x:v>Track compute, sensor modality, shielding, motion, and causal latency as separate gates; cite primary hardware evidence.</x:v>
      </x:c>
      <x:c r="G10" s="12" t="str">
        <x:v>A demo or roadmap calls the current MEG, EEG, or OPM path consumer-ready.</x:v>
      </x:c>
      <x:c r="H10" s="12" t="str">
        <x:v>Cheick</x:v>
      </x:c>
      <x:c r="I10" s="12" t="str">
        <x:v>Watching</x:v>
      </x:c>
    </x:row>
    <x:row r="11" ht="39.599998474121094" hidden="0" customHeight="1">
      <x:c r="A11" s="12" t="str">
        <x:v>R10</x:v>
      </x:c>
      <x:c r="B11" s="12" t="str">
        <x:v>Compression evidence</x:v>
      </x:c>
      <x:c r="C11" s="12" t="str">
        <x:v>Lower sampling or channel counts are presented as retained neural accuracy based on stable scaled RMS or a fit inside one block.</x:v>
      </x:c>
      <x:c r="D11" s="12" t="str">
        <x:v>High</x:v>
      </x:c>
      <x:c r="E11" s="12" t="str">
        <x:v>High</x:v>
      </x:c>
      <x:c r="F11" s="12" t="str">
        <x:v>Require a second block/session split for accuracy; report Nyquist and spatial-information losses; keep resource sweeps score-free.</x:v>
      </x:c>
      <x:c r="G11" s="12" t="str">
        <x:v>A report uses accuracy-retained language without independent evaluation, or selects a rate/channel count from one block.</x:v>
      </x:c>
      <x:c r="H11" s="12" t="str">
        <x:v>Codex</x:v>
      </x:c>
      <x:c r="I11" s="12" t="str">
        <x:v>Watching</x:v>
      </x:c>
    </x:row>
    <x:row r="12" ht="108" hidden="0" customHeight="1">
      <x:c r="A12" s="14" t="str">
        <x:v>R11</x:v>
      </x:c>
      <x:c r="B12" s="14" t="str">
        <x:v>Sensor selection</x:v>
      </x:c>
      <x:c r="C12" s="14" t="str">
        <x:v>A geometry or variance proxy selected on one S21 block is mistaken for a generally optimal layout or an OPM-ready hardware design.</x:v>
      </x:c>
      <x:c r="D12" s="14" t="str">
        <x:v>High</x:v>
      </x:c>
      <x:c r="E12" s="14" t="str">
        <x:v>High</x:v>
      </x:c>
      <x:c r="F12" s="14" t="str">
        <x:v>Pre-register FPS and variance candidates; fit variance only on training data; evaluate held-out block/session/subject accuracy; keep modality, shielding, and geometry caveats explicit.</x:v>
      </x:c>
      <x:c r="G12" s="14" t="str">
        <x:v>A subset is called optimal, accuracy-preserving, anatomical, or OPM-ready without held-out decoding and hardware validation.</x:v>
      </x:c>
      <x:c r="H12" s="14" t="str">
        <x:v>Codex</x:v>
      </x:c>
      <x:c r="I12" s="14" t="str">
        <x:v>Watching</x:v>
      </x:c>
    </x:row>
    <x:row r="13" ht="84" customHeight="1">
      <x:c r="A13" s="14" t="str">
        <x:v>R12</x:v>
      </x:c>
      <x:c r="B13" s="14" t="str">
        <x:v>Precision / storage</x:v>
      </x:c>
      <x:c r="C13" s="14" t="str">
        <x:v>Low reconstruction error is mistaken for retained decoder accuracy or integer-only local inference.</x:v>
      </x:c>
      <x:c r="D13" s="14" t="str">
        <x:v>High</x:v>
      </x:c>
      <x:c r="E13" s="14" t="str">
        <x:v>High</x:v>
      </x:c>
      <x:c r="F13" s="14" t="str">
        <x:v>Keep float32 as default; evaluate packed candidates on one fixed held-out split; report clipping separately; state that current payloads decode to float32.</x:v>
      </x:c>
      <x:c r="G13" s="14" t="str">
        <x:v>A report calls a packed cache accuracy-preserving, lower-RAM inference, real-time, or device-ready without a held-out decoder and model-runtime measurement.</x:v>
      </x:c>
      <x:c r="H13" s="14" t="str">
        <x:v>Codex</x:v>
      </x:c>
      <x:c r="I13" s="14" t="str">
        <x:v>Watching</x:v>
      </x:c>
    </x:row>
    <x:row r="14" ht="78" customHeight="1">
      <x:c r="A14" s="12" t="str">
        <x:v>R13</x:v>
      </x:c>
      <x:c r="B14" s="12" t="str">
        <x:v>Backend scaling</x:v>
      </x:c>
      <x:c r="C14" s="12" t="str">
        <x:v>The parked Zarr decision is misread as a universal format verdict and future NPZ limits go unmonitored.</x:v>
      </x:c>
      <x:c r="D14" s="12" t="str">
        <x:v>Medium</x:v>
      </x:c>
      <x:c r="E14" s="12" t="str">
        <x:v>Medium</x:v>
      </x:c>
      <x:c r="F14" s="12" t="str">
        <x:v>Preserve the Loop 13 thresholds; rerun on larger caches or repeated subarray workflows; require semantic parity before any backend adoption.</x:v>
      </x:c>
      <x:c r="G14" s="12" t="str">
        <x:v>A cache crosses a size/time/RSS threshold, or training repeatedly reads subarrays while the old park decision is cited as final.</x:v>
      </x:c>
      <x:c r="H14" s="12" t="str">
        <x:v>Codex</x:v>
      </x:c>
      <x:c r="I14" s="12" t="str">
        <x:v>Watching</x:v>
      </x:c>
    </x:row>
    <x:row r="15" ht="96" customHeight="1">
      <x:c r="A15" s="12" t="str">
        <x:v>R14</x:v>
      </x:c>
      <x:c r="B15" s="12" t="str">
        <x:v>Evaluation leakage</x:v>
      </x:c>
      <x:c r="C15" s="12" t="str">
        <x:v>A valid sentence-membership table is mistaken for a strict evaluation even though scaling or sensor selection used validation/test rows.</x:v>
      </x:c>
      <x:c r="D15" s="12" t="str">
        <x:v>Medium</x:v>
      </x:c>
      <x:c r="E15" s="12" t="str">
        <x:v>High</x:v>
      </x:c>
      <x:c r="F15" s="12" t="str">
        <x:v>Require fit_split=train plus matching protocol and semantic-membership hashes; freeze transforms for validation/test; block unsupported session/subject claims.</x:v>
      </x:c>
      <x:c r="G15" s="12" t="str">
        <x:v>A report cites strict membership while cache metadata lacks matching train-fit provenance, or aliases are counted as independent people.</x:v>
      </x:c>
      <x:c r="H15" s="12" t="str">
        <x:v>Codex</x:v>
      </x:c>
      <x:c r="I15" s="12" t="str">
        <x:v>Mitigated</x:v>
      </x:c>
    </x:row>
    <x:row r="16" ht="112" customHeight="1">
      <x:c r="A16" s="12" t="str">
        <x:v>R15</x:v>
      </x:c>
      <x:c r="B16" s="12" t="str">
        <x:v>Holdout reuse</x:v>
      </x:c>
      <x:c r="C16" s="12" t="str">
        <x:v>Architecture, adapters, sensors, or precision are tuned against the five source test rows or observed 63-row session-2 evaluation until a known difference looks meaningful.</x:v>
      </x:c>
      <x:c r="D16" s="12" t="str">
        <x:v>High</x:v>
      </x:c>
      <x:c r="E16" s="12" t="str">
        <x:v>High</x:v>
      </x:c>
      <x:c r="F16" s="12" t="str">
        <x:v>Freeze both observed holdouts; fit on source train only; select on source validation only; develop adapters on synthetic shift; pre-register the next real comparison and disclose all attempts.</x:v>
      </x:c>
      <x:c r="G16" s="12" t="str">
        <x:v>A new choice is justified by source-test or session-2 results, repeated holdout runs accumulate, or observed session 2 is described as untouched after tuning.</x:v>
      </x:c>
      <x:c r="H16" s="12" t="str">
        <x:v>Codex</x:v>
      </x:c>
      <x:c r="I16" s="12" t="str">
        <x:v>Active</x:v>
      </x:c>
    </x:row>
    <x:row r="17" ht="78" customHeight="1">
      <x:c r="A17" s="14" t="str">
        <x:v>R16</x:v>
      </x:c>
      <x:c r="B17" s="14" t="str">
        <x:v>Synthetic validity</x:v>
      </x:c>
      <x:c r="C17" s="14" t="str">
        <x:v>A diagonal synthetic shift may make robust affine adaptation look unrealistically complete.</x:v>
      </x:c>
      <x:c r="D17" s="14" t="str">
        <x:v>High</x:v>
      </x:c>
      <x:c r="E17" s="14" t="str">
        <x:v>High</x:v>
      </x:c>
      <x:c r="F17" s="14" t="str">
        <x:v>Run multiple seeds, at least five calibration sizes, unpaired calibration, and non-diagonal or time-varying shifts before any real-data adapter claim.</x:v>
      </x:c>
      <x:c r="G17" s="14" t="str">
        <x:v>Near-perfect synthetic reconstruction without an untouched real-session benefit result.</x:v>
      </x:c>
      <x:c r="H17" s="14" t="str">
        <x:v>Codex</x:v>
      </x:c>
      <x:c r="I17" s="14" t="str">
        <x:v>Active</x:v>
      </x:c>
    </x:row>
    <x:row r="18" ht="88" customHeight="1">
      <x:c r="A18" s="14" t="str">
        <x:v>R17</x:v>
      </x:c>
      <x:c r="B18" s="14" t="str">
        <x:v>Adapter scope</x:v>
      </x:c>
      <x:c r="C18" s="14" t="str">
        <x:v>Automatic static robust-affine adaptation is applied when target drift includes channel mixing or changes within a sentence, worsening decoding relative to identity.</x:v>
      </x:c>
      <x:c r="D18" s="14" t="str">
        <x:v>High</x:v>
      </x:c>
      <x:c r="E18" s="14" t="str">
        <x:v>High</x:v>
      </x:c>
      <x:c r="F18" s="14" t="str">
        <x:v>Keep identity as the default fallback; identify the shift family on synthetic validation; gate covariance-aware and causal rolling methods separately before any real evaluation.</x:v>
      </x:c>
      <x:c r="G18" s="14" t="str">
        <x:v>Adapted validation CER exceeds identity, covariance changes remain after scaling, or rolling-window statistics move materially within one sequence.</x:v>
      </x:c>
      <x:c r="H18" s="14" t="str">
        <x:v>Codex</x:v>
      </x:c>
      <x:c r="I18" s="14" t="str">
        <x:v>Active</x:v>
      </x:c>
    </x:row>
    <x:row r="19" ht="91.5" customHeight="1">
      <x:c r="A19" s="12" t="str">
        <x:v>R18</x:v>
      </x:c>
      <x:c r="B19" s="12" t="str">
        <x:v>Demo interpretation</x:v>
      </x:c>
      <x:c r="C19" s="12" t="str">
        <x:v>Perfect synthetic examples or aggregate real metrics are mistaken for a live real-MEG decoder, calibrated confidence, arbitrary-thought reading, or at-home hardware evidence.</x:v>
      </x:c>
      <x:c r="D19" s="12" t="str">
        <x:v>High</x:v>
      </x:c>
      <x:c r="E19" s="12" t="str">
        <x:v>High</x:v>
      </x:c>
      <x:c r="F19" s="12" t="str">
        <x:v>Keep the proof strip visible; label examples synthetic and real rows aggregate-only; show confidence as unavailable; expose noncausal/task/hardware boundaries; publish provenance and audit checks.</x:v>
      </x:c>
      <x:c r="G19" s="12" t="str">
        <x:v>A screenshot, writeup, or downstream report omits synthetic, aggregate-only, noncausal, confidence-unavailable, or typing-task-specific labels.</x:v>
      </x:c>
      <x:c r="H19" s="12" t="str">
        <x:v>Codex</x:v>
      </x:c>
      <x:c r="I19" s="12" t="str">
        <x:v>Active</x:v>
      </x:c>
    </x:row>
    <x:row r="20" ht="91.5" customHeight="1">
      <x:c r="A20" s="12" t="str">
        <x:v>R19</x:v>
      </x:c>
      <x:c r="B20" s="12" t="str">
        <x:v>Leaderboard comparability</x:v>
      </x:c>
      <x:c r="C20" s="12" t="str">
        <x:v>A rank across different tasks, units, splits, subjects, proof postures, or metrics is presented as a global model winner.</x:v>
      </x:c>
      <x:c r="D20" s="12" t="str">
        <x:v>High</x:v>
      </x:c>
      <x:c r="E20" s="12" t="str">
        <x:v>High</x:v>
      </x:c>
      <x:c r="F20" s="12" t="str">
        <x:v>Authorize ranks only inside exact cohorts; expose CER, WER, and SemER separately; keep synthetic, real, event, sentence, fit-on-eval, and consumed-holdout evidence distinct; set global winner to null.</x:v>
      </x:c>
      <x:c r="G20" s="12" t="str">
        <x:v>A downstream table drops cohort/proof labels, merges event and sentence rows, hides fit-on-eval status, or selects one metric without disclosing disagreement.</x:v>
      </x:c>
      <x:c r="H20" s="12" t="str">
        <x:v>Codex</x:v>
      </x:c>
      <x:c r="I20" s="12" t="str">
        <x:v>Active</x:v>
      </x:c>
    </x:row>
    <x:row r="21" ht="99" customHeight="1">
      <x:c r="A21" s="12" t="str">
        <x:v>R20</x:v>
      </x:c>
      <x:c r="B21" s="12" t="str">
        <x:v>EEG interpretation</x:v>
      </x:c>
      <x:c r="C21" s="12" t="str">
        <x:v>A trigger-aligned cache or one minimally processed within-session S7 event result is presented as useful brain-to-text, EEG-MEG equivalence, portable sensing, or consumer hardware evidence.</x:v>
      </x:c>
      <x:c r="D21" s="12" t="str">
        <x:v>High</x:v>
      </x:c>
      <x:c r="E21" s="12" t="str">
        <x:v>High</x:v>
      </x:c>
      <x:c r="F21" s="12" t="str">
        <x:v>Keep EEG and MEG in separate cohorts; report exact key-label accuracy beside the train-only prior; label CER non-primary for key tokens; require explicit preprocessing plus independent session/subject protocols before any EEG performance or portability claim.</x:v>
      </x:c>
      <x:c r="G21" s="12" t="str">
        <x:v>A report cites alignment/cache completion as decoding performance, hides the 0.009091 versus 0.122727 negative result, compares EEG and MEG globally, or mentions at-home/consumer readiness.</x:v>
      </x:c>
      <x:c r="H21" s="12" t="str">
        <x:v>Codex</x:v>
      </x:c>
      <x:c r="I21" s="12" t="str">
        <x:v>Active</x:v>
      </x:c>
    </x:row>
    <x:row r="22" ht="106.5" customHeight="1">
      <x:c r="A22" s="12" t="str">
        <x:v>R21</x:v>
      </x:c>
      <x:c r="B22" s="12" t="str">
        <x:v>Neurotoken and streaming interpretation</x:v>
      </x:c>
      <x:c r="C22" s="12" t="str">
        <x:v>Synthetic random-projection vectors or producer frame timing are presented as learned brain words, useful neural semantics, a causal decoder, or measured real-time brain-to-text.</x:v>
      </x:c>
      <x:c r="D22" s="12" t="str">
        <x:v>High</x:v>
      </x:c>
      <x:c r="E22" s="12" t="str">
        <x:v>High</x:v>
      </x:c>
      <x:c r="F22" s="12" t="str">
        <x:v>Label vectors continuous, synthetic, target-free, and unlearned; keep producer causality, decoder causality, right context, and end-to-end latency separate; require synthetic chunk/replay proof before a causal decoder and a preregistered real cohort before performance claims.</x:v>
      </x:c>
      <x:c r="G22" s="12" t="str">
        <x:v>A report calls Loop 20 vectors discrete or learned neurotokens, cites the 160-ms frame width as end-to-end latency, or omits that decoder causality and decoding value are untested.</x:v>
      </x:c>
      <x:c r="H22" s="12" t="str">
        <x:v>Codex</x:v>
      </x:c>
      <x:c r="I22" s="12" t="str">
        <x:v>Active</x:v>
      </x:c>
    </x:row>
    <x:row r="23" ht="106.5" customHeight="1">
      <x:c r="A23" s="12" t="str">
        <x:v>R22</x:v>
      </x:c>
      <x:c r="B23" s="12" t="str">
        <x:v>Causal and latency claim collapse</x:v>
      </x:c>
      <x:c r="C23" s="12" t="str">
        <x:v>A zero-lookahead frame producer or low compute RTF is presented as stable incremental text, real-time end-to-end decoding, or responsive local hardware.</x:v>
      </x:c>
      <x:c r="D23" s="12" t="str">
        <x:v>High</x:v>
      </x:c>
      <x:c r="E23" s="12" t="str">
        <x:v>High</x:v>
      </x:c>
      <x:c r="F23" s="12" t="str">
        <x:v>Report frame availability, right context, scheduler delay, compute time/RTF, decoder emission/revisions, capture/preprocessing, and UI latency separately; do not use a producer benchmark as a text or device claim.</x:v>
      </x:c>
      <x:c r="G23" s="12" t="str">
        <x:v>A report cites the 160-ms first frame or sub-0.001 compute RTF as text latency while decoder causality, symbol stability, endpointing, or capture-to-render timing remains unavailable.</x:v>
      </x:c>
      <x:c r="H23" s="12" t="str">
        <x:v>Codex</x:v>
      </x:c>
      <x:c r="I23" s="12" t="str">
        <x:v>Active</x:v>
      </x:c>
    </x:row>
    <x:row r="24" ht="131.25" customHeight="1">
      <x:c r="A24" s="12" t="str">
        <x:v>R23</x:v>
      </x:c>
      <x:c r="B24" s="12" t="str">
        <x:v>Consumed test reuse</x:v>
      </x:c>
      <x:c r="C24" s="12" t="str">
        <x:v>A consumed synthetic or real evaluation is reused to select precision candidates, tune decoding, or make a fresh-evidence claim.</x:v>
      </x:c>
      <x:c r="D24" s="12" t="str">
        <x:v>High</x:v>
      </x:c>
      <x:c r="E24" s="12" t="str">
        <x:v>High</x:v>
      </x:c>
      <x:c r="F24" s="12" t="str">
        <x:v>Freeze seeds 2203, 2303, and 2353 plus S21 session 2 and S7 EEG; require fresh split and one-time access protocols.</x:v>
      </x:c>
      <x:c r="G24" s="12" t="str">
        <x:v>A new report reads a consumed partition or cites its output as candidate-selection evidence.</x:v>
      </x:c>
      <x:c r="H24" s="12" t="str">
        <x:v>Codex</x:v>
      </x:c>
      <x:c r="I24" s="12" t="str">
        <x:v>Active</x:v>
      </x:c>
    </x:row>
    <x:row r="25" ht="131.25" customHeight="1">
      <x:c r="A25" s="12" t="str">
        <x:v>R24</x:v>
      </x:c>
      <x:c r="B25" s="12" t="str">
        <x:v>Sensitive multimodal misattribution</x:v>
      </x:c>
      <x:c r="C25" s="12" t="str">
        <x:v>Eye, hand, microphone, heart, motion, EOG, or wrist-EMG input is exposed, uploaded, or credited to EEG without consent and ablation evidence.</x:v>
      </x:c>
      <x:c r="D25" s="12" t="str">
        <x:v>High</x:v>
      </x:c>
      <x:c r="E25" s="12" t="str">
        <x:v>High</x:v>
      </x:c>
      <x:c r="F25" s="12" t="str">
        <x:v>Local-only intake, explicit modality labels, no silent cloud path, and mandatory brain-only, peripheral-only, and combined ablations.</x:v>
      </x:c>
      <x:c r="G25" s="12" t="str">
        <x:v>A device or report calls behavioral/peripheral data brain activity or lacks a device-only comparator.</x:v>
      </x:c>
      <x:c r="H25" s="12" t="str">
        <x:v>Codex</x:v>
      </x:c>
      <x:c r="I25" s="12" t="str">
        <x:v>Active</x:v>
      </x:c>
    </x:row>
    <x:row r="26" ht="88.5" customHeight="1">
      <x:c r="A26" s="12" t="str">
        <x:v>R25</x:v>
      </x:c>
      <x:c r="B26" s="12" t="str">
        <x:v>Reader bounds</x:v>
      </x:c>
      <x:c r="C26" s="12" t="str">
        <x:v>A lazy reader silently preloads a source or mixed-rate EDF/BDF resampling changes bounded values.</x:v>
      </x:c>
      <x:c r="D26" s="12" t="str">
        <x:v>High</x:v>
      </x:c>
      <x:c r="E26" s="12" t="str">
        <x:v>High</x:v>
      </x:c>
      <x:c r="F26" s="12" t="str">
        <x:v>Use explicit format readers and arguments; refuse embedded EEGLAB and unproven mixed-rate level 2; assert preload and exact fixture values.</x:v>
      </x:c>
      <x:c r="G26" s="12" t="str">
        <x:v>Unexpected preload, memory growth, implicit rate conversion, or value mismatch.</x:v>
      </x:c>
      <x:c r="H26" s="12" t="str">
        <x:v>Codex</x:v>
      </x:c>
      <x:c r="I26" s="12" t="str">
        <x:v>Active</x:v>
      </x:c>
    </x:row>
    <x:row r="27" ht="88.5" customHeight="1">
      <x:c r="A27" s="12" t="str">
        <x:v>R26</x:v>
      </x:c>
      <x:c r="B27" s="12" t="str">
        <x:v>Quality semantics</x:v>
      </x:c>
      <x:c r="C27" s="12" t="str">
        <x:v>A descriptive warning becomes automatic cleaning or is presented as proof that a real artifact was detected.</x:v>
      </x:c>
      <x:c r="D27" s="12" t="str">
        <x:v>High</x:v>
      </x:c>
      <x:c r="E27" s="12" t="str">
        <x:v>High</x:v>
      </x:c>
      <x:c r="F27" s="12" t="str">
        <x:v>Keep profile-dependent thresholds unavailable; prove source no-mutation; never delete, interpolate, filter, rereference, or mark bads.</x:v>
      </x:c>
      <x:c r="G27" s="12" t="str">
        <x:v>A warning changes source state or is described as a validated real-data diagnosis.</x:v>
      </x:c>
      <x:c r="H27" s="12" t="str">
        <x:v>Codex</x:v>
      </x:c>
      <x:c r="I27" s="12" t="str">
        <x:v>Active</x:v>
      </x:c>
    </x:row>
    <x:row r="28" ht="88.5" customHeight="1">
      <x:c r="A28" s="12" t="str">
        <x:v>R27</x:v>
      </x:c>
      <x:c r="B28" s="12" t="str">
        <x:v>Signal privacy</x:v>
      </x:c>
      <x:c r="C28" s="12" t="str">
        <x:v>Reports leak absolute paths, participant data, dates, serials, event text/timestamps, exact geometry, or waveform values.</x:v>
      </x:c>
      <x:c r="D28" s="12" t="str">
        <x:v>High</x:v>
      </x:c>
      <x:c r="E28" s="12" t="str">
        <x:v>High</x:v>
      </x:c>
      <x:c r="F28" s="12" t="str">
        <x:v>Allowlist aggregate fields; redact before serialization; run forbidden-token and waveform/value leakage tests; kill the gate on exposure.</x:v>
      </x:c>
      <x:c r="G28" s="12" t="str">
        <x:v>Any forbidden identifier, coordinate, annotation, timestamp, or signal value appears in an artifact.</x:v>
      </x:c>
      <x:c r="H28" s="12" t="str">
        <x:v>Codex</x:v>
      </x:c>
      <x:c r="I28" s="12" t="str">
        <x:v>Active</x:v>
      </x:c>
    </x:row>
    <x:row r="29" ht="52.79999923706055" hidden="0" customHeight="1">
      <x:c r="A29" s="14" t="str">
        <x:v>R28</x:v>
      </x:c>
      <x:c r="B29" s="14" t="str">
        <x:v>Precision / runtime overclaim</x:v>
      </x:c>
      <x:c r="C29" s="14" t="str">
        <x:v>A smaller serialized candidate is promoted despite slower full-pipeline runtime, changed behavior, an incomplete timing protocol, or a consumed selection split.</x:v>
      </x:c>
      <x:c r="D29" s="14" t="str">
        <x:v>High</x:v>
      </x:c>
      <x:c r="E29" s="14" t="str">
        <x:v>High</x:v>
      </x:c>
      <x:c r="F29" s="14" t="str">
        <x:v>Keep the exact behavior, numerical, runtime, state, payload, RSS, and total-runtime gates conjunctive; retain float32 on any failure; require a fresh preregistration before new execution.</x:v>
      </x:c>
      <x:c r="G29" s="14" t="str">
        <x:v>A report calls float16 or qint8 a replacement, cites payload size as speed, reruns seed 2401, opens seed 2402 without a new authorization, or hides the 65.154951-second cap failure.</x:v>
      </x:c>
      <x:c r="H29" s="14" t="str">
        <x:v>Codex</x:v>
      </x:c>
      <x:c r="I29" s="14" t="str">
        <x:v>Watching</x:v>
      </x:c>
    </x:row>
    <x:row r="30" ht="117" customHeight="1">
      <x:c r="A30" s="12" t="str">
        <x:v>R29</x:v>
      </x:c>
      <x:c r="B30" s="12" t="str">
        <x:v>Causal preprocessing</x:v>
      </x:c>
      <x:c r="C30" s="12" t="str">
        <x:v>Offline zero-phase filtering, future-dependent normalization, endpoint padding, or chunk resets are mislabeled as causal streaming behavior.</x:v>
      </x:c>
      <x:c r="D30" s="12" t="str">
        <x:v>High</x:v>
      </x:c>
      <x:c r="E30" s="12" t="str">
        <x:v>High</x:v>
      </x:c>
      <x:c r="F30" s="12" t="str">
        <x:v>Require one-pass stateful SOS filtering, phase-locked absolute-index decimation, frozen statistics, and exact schedule/resume/future-mutation checks before any causal claim.</x:v>
      </x:c>
      <x:c r="G30" s="12" t="str">
        <x:v>An earlier output or state changes when only future samples or chunk boundaries change, or a report hides filter delay as text latency.</x:v>
      </x:c>
      <x:c r="H30" s="12" t="str">
        <x:v>Codex</x:v>
      </x:c>
      <x:c r="I30" s="12" t="str">
        <x:v>Active</x:v>
      </x:c>
    </x:row>
    <x:row r="31" ht="126" customHeight="1">
      <x:c r="A31" s="12" t="str">
        <x:v>R30</x:v>
      </x:c>
      <x:c r="B31" s="12" t="str">
        <x:v>Anti-alias completeness</x:v>
      </x:c>
      <x:c r="C31" s="12" t="str">
        <x:v>A task low-pass edge or one above-Nyquist probe is mistaken for complete anti-alias protection before 10x decimation, allowing 50-500 Hz source energy to fold into the retained band.</x:v>
      </x:c>
      <x:c r="D31" s="12" t="str">
        <x:v>High</x:v>
      </x:c>
      <x:c r="E31" s="12" t="str">
        <x:v>High</x:v>
      </x:c>
      <x:c r="F31" s="12" t="str">
        <x:v>Require a separate causal anti-alias SOS, a 65,537-point 0-500 Hz response grid, 23 alias probes, and complete-chain 50-500 Hz attenuation before any fixture array opens.</x:v>
      </x:c>
      <x:c r="G31" s="12" t="str">
        <x:v>The dedicated or complete chain exceeds -59.5 dB anywhere in 50-500 Hz, an alias destination is wrong, or a superseded packet is selected.</x:v>
      </x:c>
      <x:c r="H31" s="12" t="str">
        <x:v>Codex</x:v>
      </x:c>
      <x:c r="I31" s="12" t="str">
        <x:v>Active</x:v>
      </x:c>
    </x:row>
    <x:row r="32" ht="138" customHeight="1">
      <x:c r="A32" s="12" t="str">
        <x:v>R31</x:v>
      </x:c>
      <x:c r="B32" s="12" t="str">
        <x:v>Six-row validation overclaim</x:v>
      </x:c>
      <x:c r="C32" s="12" t="str">
        <x:v>A favorable result on six sentences from one person/session is reported as source-test, participant, population, transfer, real-time, or device evidence, or smooth bootstrap output hides the 64-assignment exact resolution.</x:v>
      </x:c>
      <x:c r="D32" s="12" t="str">
        <x:v>High</x:v>
      </x:c>
      <x:c r="E32" s="12" t="str">
        <x:v>High</x:v>
      </x:c>
      <x:c r="F32" s="12" t="str">
        <x:v>Report all six paired differences and the complete exact null; require all frozen controls; label the unit as sentence instances within one person/session; keep source test and session 2 closed.</x:v>
      </x:c>
      <x:c r="G32" s="12" t="str">
        <x:v>Any claim exceeds the six named validation rows, any validation item is omitted, a zero/tie is hidden, or protected test/session-2 evidence is opened.</x:v>
      </x:c>
      <x:c r="H32" s="12" t="str">
        <x:v>Codex</x:v>
      </x:c>
      <x:c r="I32" s="12" t="str">
        <x:v>Active</x:v>
      </x:c>
    </x:row>
    <x:row r="33" ht="145.5" customHeight="1">
      <x:c r="A33" s="12" t="str">
        <x:v>R32</x:v>
      </x:c>
      <x:c r="B33" s="12" t="str">
        <x:v>Metadata candidate becomes accidental authorization</x:v>
      </x:c>
      <x:c r="C33" s="12" t="str">
        <x:v>A local S25 MAT filename, official payload hash, or 1 GiB cap is treated as permission to hash/open targets, download the FIF, inspect signal, run a model, or silently substitute S18/S24/S22 after failure.</x:v>
      </x:c>
      <x:c r="D33" s="12" t="str">
        <x:v>High</x:v>
      </x:c>
      <x:c r="E33" s="12" t="str">
        <x:v>High</x:v>
      </x:c>
      <x:c r="F33" s="12" t="str">
        <x:v>Bind 18 false permissions; require source-model/control/target-isolation/final-rule hashes before preregistration; stage acquisition/header/signal/target/final access separately; prohibit automatic backup substitution.</x:v>
      </x:c>
      <x:c r="G33" s="12" t="str">
        <x:v>Any S25 content read or download before an exact green authorization-only commit, any candidate-side fitting, or any backup open after protected access.</x:v>
      </x:c>
      <x:c r="H33" s="12" t="str">
        <x:v>Codex</x:v>
      </x:c>
      <x:c r="I33" s="12" t="str">
        <x:v>Active</x:v>
      </x:c>
    </x:row>
    <x:row r="34" ht="66" hidden="0" customHeight="1">
      <x:c r="A34" s="12" t="str">
        <x:v>R33</x:v>
      </x:c>
      <x:c r="B34" s="12" t="str">
        <x:v>Transfer evidence</x:v>
      </x:c>
      <x:c r="C34" s="12" t="str">
        <x:v>Calibrated or transductive behavior is relabeled as strict zero-shot, or one S25 result is presented as population generalization.</x:v>
      </x:c>
      <x:c r="D34" s="12" t="str">
        <x:v>High</x:v>
      </x:c>
      <x:c r="E34" s="12" t="str">
        <x:v>High</x:v>
      </x:c>
      <x:c r="F34" s="12" t="str">
        <x:v>Bind T0-T3 labels, forbid every S25 fit row for T2, keep calibrated transfer physically separate, disclose sentence overlap, require all controls, and cap the claim at one person/session/task.</x:v>
      </x:c>
      <x:c r="G34" s="12" t="str">
        <x:v>Any target-person statistic, label, adapter, threshold, or update influences T2 before final scoring; calibrated output is called zero-shot; or a single-person result is generalized to a population.</x:v>
      </x:c>
      <x:c r="H34" s="12" t="str">
        <x:v>Codex</x:v>
      </x:c>
      <x:c r="I34" s="12" t="str">
        <x:v>Active</x:v>
      </x:c>
    </x:row>
    <x:row r="35" ht="108" customHeight="1">
      <x:c r="A35" s="39" t="str">
        <x:v>R34</x:v>
      </x:c>
      <x:c r="B35" s="39" t="str">
        <x:v>Portability and storage overclaim</x:v>
      </x:c>
      <x:c r="C35" s="39" t="str">
        <x:v>A 5-10 GB capacity allowance, cryogenic channel ablation, vendor specification, or at-home acquisition study is treated as download permission or proof of OPM-MEG/EEG text decoding.</x:v>
      </x:c>
      <x:c r="D35" s="39" t="str">
        <x:v>High</x:v>
      </x:c>
      <x:c r="E35" s="39" t="str">
        <x:v>High</x:v>
      </x:c>
      <x:c r="F35" s="39" t="str">
        <x:v>Keep four modality profiles and six qualification levels separate; bind 24 false permissions; stage S20, S25, device, SDK, stream, and hardware decisions independently; spend storage only on a frozen measured question.</x:v>
      </x:c>
      <x:c r="G35" s="39" t="str">
        <x:v>Any unapproved payload opens, a device is selected from specifications alone, a cryogenic subset is called OPM/EEG evidence, or home recording is called home decoding.</x:v>
      </x:c>
      <x:c r="H35" s="39" t="str">
        <x:v>Codex</x:v>
      </x:c>
      <x:c r="I35" s="39" t="str">
        <x:v>Active</x:v>
      </x:c>
    </x:row>
    <x:row r="36" ht="104" customHeight="1">
      <x:c r="A36" t="str">
        <x:v>R35</x:v>
      </x:c>
      <x:c r="B36" t="str">
        <x:v>Replay and latency overclaim</x:v>
      </x:c>
      <x:c r="C36" t="str">
        <x:v>A target-free replay, stable partial, localhost label, or within-process timing is presented as live neural decoding, calibrated confidence, correctness, privacy proof, or capture-to-user latency.</x:v>
      </x:c>
      <x:c r="D36" t="str">
        <x:v>High</x:v>
      </x:c>
      <x:c r="E36" t="str">
        <x:v>High</x:v>
      </x:c>
      <x:c r="F36" t="str">
        <x:v>Bind four source modes, nine clock origins, six claim levels, explicit finalization, confidence unavailable, fixed loopback/file/network settings, accessible status, 18 gates, 30 refusals, and browser traffic/long-task QA before implementation.</x:v>
      </x:c>
      <x:c r="G36" t="str">
        <x:v>A replay is called live; stability is called confidence/correctness; clocks are subtracted without mapping; external traffic/file exposure occurs; or the UI hides proof, causality, warning, or unavailable labels.</x:v>
      </x:c>
      <x:c r="H36" t="str">
        <x:v>Codex</x:v>
      </x:c>
      <x:c r="I36" t="str">
        <x:v>Active</x:v>
      </x:c>
    </x:row>
    <x:row r="37" ht="116" customHeight="1">
      <x:c r="A37" t="str">
        <x:v>R36</x:v>
      </x:c>
      <x:c r="B37" t="str">
        <x:v>Scientific attribution</x:v>
      </x:c>
      <x:c r="C37" t="str">
        <x:v>Language regularity, timing, prompt/sentence context, broken signal-target correspondence, peripheral artifacts, or a missing control is credited to brain-specific neural information.</x:v>
      </x:c>
      <x:c r="D37" t="str">
        <x:v>High</x:v>
      </x:c>
      <x:c r="E37" t="str">
        <x:v>High</x:v>
      </x:c>
      <x:c r="F37" t="str">
        <x:v>Require the 10-condition encoder matrix, contingent 5-condition LLM matrix, target-blind prediction freeze, exact intersection-union gate, per-condition ledgers/hashes, and a Loop 35 ceiling before brain-specific wording.</x:v>
      </x:c>
      <x:c r="G37" t="str">
        <x:v>A no-signal, timing, context, or corrupted-signal control matches full signal; language gain is called neural gain; a Neuro Token drop is called total neural contribution; or sensor dependence is called brain-specific before Loop 35.</x:v>
      </x:c>
      <x:c r="H37" t="str">
        <x:v>Codex</x:v>
      </x:c>
      <x:c r="I37" t="str">
        <x:v>Active</x:v>
      </x:c>
    </x:row>
    <x:row r="38" ht="124" customHeight="1">
      <x:c r="A38" t="str">
        <x:v>R37</x:v>
      </x:c>
      <x:c r="B38" t="str">
        <x:v>Calibration leakage and burden</x:v>
      </x:c>
      <x:c r="C38" t="str">
        <x:v>Target signal or labels leak across fit, selection, and final evidence; selection supervision is hidden; calibrated performance is called zero-shot; or a tiny adapter is presented as a tiny human burden.</x:v>
      </x:c>
      <x:c r="D38" t="str">
        <x:v>High</x:v>
      </x:c>
      <x:c r="E38" t="str">
        <x:v>High</x:v>
      </x:c>
      <x:c r="F38" t="str">
        <x:v>Require physical 32/16/48 partitions, disjoint row/text hashes, zero-shot predictions frozen before calibration, one mode and budget, final targets opened once, label-inclusive burden, six controls, 20 gates, 26 refusals, and exact access/hash ledgers.</x:v>
      </x:c>
      <x:c r="G38" t="str">
        <x:v>Final rows influence statistics or selection; unlabeled mode uses target labels; selection labels are omitted; S25 is repurposed; multiple modes are run and only the best is promoted; or one calibrated person is generalized.</x:v>
      </x:c>
      <x:c r="H38" t="str">
        <x:v>Codex</x:v>
      </x:c>
      <x:c r="I38" t="str">
        <x:v>Active</x:v>
      </x:c>
    </x:row>
    <x:row r="39">
      <x:c r="A39" t="str">
        <x:v>R38</x:v>
      </x:c>
      <x:c r="B39" t="str">
        <x:v>Scaling and acquisition overclaim</x:v>
      </x:c>
      <x:c r="C39" t="str">
        <x:v>A tiny after-the-fact curve, optimizer seeds, duplicated arrays, minutes of signal, or another study's exponent is presented as a prospective scaling law, biological replication, physical repetition, recording hours, or guaranteed acquisition value.</x:v>
      </x:c>
      <x:c r="D39" t="str">
        <x:v>High</x:v>
      </x:c>
      <x:c r="E39" t="str">
        <x:v>High</x:v>
      </x:c>
      <x:c r="F39" t="str">
        <x:v>Freeze Loop 33 before the shared target open; bind six nested prefixes, matched priors, fixed model/data contracts, one target open, 20 gates, and 30 refusals. Report only 8-55 unique sentences, distinguish physical recordings from array reuse, and require a separate acquisition packet.</x:v>
      </x:c>
      <x:c r="G39" t="str">
        <x:v>Validation targets open before Loop 33 freezes; prefixes or seeds change after scoring; duplicate rows are called recordings; CPU time is called energy; a 90-hour exponent or population conclusion is transferred; or data is acquired without a separate exact packet.</x:v>
      </x:c>
      <x:c r="H39" t="str">
        <x:v>Codex</x:v>
      </x:c>
      <x:c r="I39" t="str">
        <x:v>Active</x:v>
      </x:c>
    </x:row>
    <x:row r="40">
      <x:c r="A40" t="str">
        <x:v>R39</x:v>
      </x:c>
      <x:c r="B40" t="str">
        <x:v>Confidence, abstention, and revision overclaim</x:v>
      </x:c>
      <x:c r="C40" t="str">
        <x:v>A raw score, entropy, margin, or stable prefix is called a correctness probability; six reused real rows are presented as independent qualification; abstain-all hides error; ECE or AURC stands alone; or a synthetic policy is promoted as real confidence.</x:v>
      </x:c>
      <x:c r="D40" t="str">
        <x:v>High</x:v>
      </x:c>
      <x:c r="E40" t="str">
        <x:v>High</x:v>
      </x:c>
      <x:c r="F40" t="str">
        <x:v>Require fresh disjoint calibration/selection/final groups, seven semantic levels, eight score/control roles, bounded exact-sequence loss, registered useful coverage, full working-point and generalized-risk reporting, frozen mappings and policies before one final open, Loop 30 clock domains, 20 gates, and 30 refusals.</x:v>
      </x:c>
      <x:c r="G40" t="str">
        <x:v>Calibration, selection, or final groups overlap; a final target changes a threshold or bin; stability is called correctness; raw CER is silently clipped; dependence is omitted; below-floor coverage passes; revision delay is hidden; or synthetic evidence is transferred to real/product confidence.</x:v>
      </x:c>
      <x:c r="H40" t="str">
        <x:v>Codex</x:v>
      </x:c>
      <x:c r="I40" t="str">
        <x:v>Active</x:v>
      </x:c>
    </x:row>
    <x:row r="41" ht="15" hidden="0" customHeight="1">
      <x:c r="A41" t="str">
        <x:v>R40</x:v>
      </x:c>
      <x:c r="B41" t="str">
        <x:v>Peripheral confound and neural-origin overclaim</x:v>
      </x:c>
      <x:c r="C41" t="str">
        <x:v>Key timing, prompt/target leakage, eye activity, distal/proximal muscle, motion, audio/environment, physiology, equipment, or task identity is credited to brain-specific information because a sensor is labeled EEG/MEG or was artifact rejected.</x:v>
      </x:c>
      <x:c r="D41" t="str">
        <x:v>High</x:v>
      </x:c>
      <x:c r="E41" t="str">
        <x:v>High</x:v>
      </x:c>
      <x:c r="F41" t="str">
        <x:v>Require the 10-class registry, 9 synchronized streams, 13 conditions, physical 32/16/48 partitions, strongest-peripheral selection, train-only residualization, one final open, 24 gates, 32 refusals, and fail-closed missing controls. Cap the claim at incremental information beyond recorded controls.</x:v>
      </x:c>
      <x:c r="G41" t="str">
        <x:v>A required peripheral stream is absent or imputed; key/prompt content enters features; a nonbrain condition ties or wins; clocks/residualization fail; a final target changes a choice; sensor dependence is called brain origin; or overt typing is generalized to no-keypress/patient use.</x:v>
      </x:c>
      <x:c r="H41" t="str">
        <x:v>Codex</x:v>
      </x:c>
      <x:c r="I41" t="str">
        <x:v>Active</x:v>
      </x:c>
    </x:row>
    <x:row r="42" ht="15" hidden="0" customHeight="1">
      <x:c r="A42" t="str">
        <x:v>R41</x:v>
      </x:c>
      <x:c r="B42" t="str">
        <x:v>Geometry, reference, and device-equivalence overclaim</x:v>
      </x:c>
      <x:c r="C42" t="str">
        <x:v>A shared channel name/count, standard montage, integer frame code, inferred unit, identity transform, hidden rereference/interpolation, or accuracy-selected mapping is presented as sensor, numerical, model, or device equivalence.</x:v>
      </x:c>
      <x:c r="D42" t="str">
        <x:v>High</x:v>
      </x:c>
      <x:c r="E42" t="str">
        <x:v>High</x:v>
      </x:c>
      <x:c r="F42" t="str">
        <x:v>Require 6 representation layers, explicit bijective aliases, separate signal/coordinate units, named directional right-handed transforms, orientation and reference/compensation state, preserved missingness, 16 fixture families, 22 gates, 30 refusals, hashes, and staged authorization.</x:v>
      </x:c>
      <x:c r="G42" t="str">
        <x:v>An alias collides; a unit is magnitude-inferred; a frame/direction/reference is unknown; a reflection or template substitution passes; interpolation loses missingness; final accuracy selects a map; or metadata compatibility is promoted to transfer/device equivalence.</x:v>
      </x:c>
      <x:c r="H42" t="str">
        <x:v>Codex</x:v>
      </x:c>
      <x:c r="I42" t="str">
        <x:v>Active</x:v>
      </x:c>
    </x:row>
    <x:row r="43" ht="15" hidden="0" customHeight="1">
      <x:c r="A43" t="str">
        <x:v>R42</x:v>
      </x:c>
      <x:c r="B43" t="str">
        <x:v>BIDS envelope, provenance, privacy, and raw-copy overclaim</x:v>
      </x:c>
      <x:c r="C43" t="str">
        <x:v>A standard-looking directory, passing validator, local path, invented source URI, reused subject label, non-standard NPZ/report payload, raw duplicate, or unclear license is presented as BIDS-compliant, portable, privacy-safe, reproducible, or shareable.</x:v>
      </x:c>
      <x:c r="D43" t="str">
        <x:v>High</x:v>
      </x:c>
      <x:c r="E43" t="str">
        <x:v>High</x:v>
      </x:c>
      <x:c r="F43" t="str">
        <x:v>Require 6 export layers, explicit standardization status, truthful BIDS URIs, portable identifiers, complete hashes, allowlisted payloads, zero raw copies/aliases, target/free-text refusal, privacy/license dependencies, 20 fixtures, 24 gates, 32 refusals, and staged authorization.</x:v>
      </x:c>
      <x:c r="G43" t="str">
        <x:v>A local path or identifier leaks; DatasetLinks cannot resolve Sources; raw bytes/inodes duplicate; validator ignores a custom file; target/free text appears; license/privacy is unknown; or envelope validation is promoted to payload/scientific/release proof.</x:v>
      </x:c>
      <x:c r="H43" t="str">
        <x:v>Codex</x:v>
      </x:c>
      <x:c r="I43" t="str">
        <x:v>Active</x:v>
      </x:c>
    </x:row>
    <x:row r="44" ht="15" hidden="0" customHeight="1">
      <x:c r="A44" t="str">
        <x:v>R43</x:v>
      </x:c>
      <x:c r="B44" t="str">
        <x:v>Neural-data lifecycle, identity linkage, deletion, and sharing overclaim</x:v>
      </x:c>
      <x:c r="C44" t="str">
        <x:v>Ignored or redacted neural-derived data, stable hashes, a clean worktree, or a local path receipt is presented as anonymous, privacy-safe, securely deleted, consented, license-cleared, or shareable while backups, clones, CI, remote, or media copies remain unresolved.</x:v>
      </x:c>
      <x:c r="D44" t="str">
        <x:v>High</x:v>
      </x:c>
      <x:c r="E44" t="str">
        <x:v>High</x:v>
      </x:c>
      <x:c r="F44" t="str">
        <x:v>Require 5 sensitivity levels, 8 artifact classes, 10 lifecycle surfaces, 12 sensitive fields, 5 receipt levels, exact ownership/retention/redaction/sharing fields, unresolved-copy counts, consent/license separation, 24 fixtures, 26 gates, 36 refusals, and staged authorization.</x:v>
      </x:c>
      <x:c r="G44" t="str">
        <x:v>A sensitive field survives; a hash links releases; temp/backup/Git/clone/CI copies are unknown; broad cleanup crosses scope; a path receipt is promoted to sanitization; or technical redaction is promoted to consent/release authority.</x:v>
      </x:c>
      <x:c r="H44" t="str">
        <x:v>Codex</x:v>
      </x:c>
      <x:c r="I44" t="str">
        <x:v>Active</x:v>
      </x:c>
    </x:row>
    <x:row r="45">
      <x:c r="A45" t="str">
        <x:v>R44</x:v>
      </x:c>
      <x:c r="B45" t="str">
        <x:v>Cross-machine reproducibility and tolerance overclaim</x:v>
      </x:c>
      <x:c r="C45" t="str">
        <x:v>A one-host replay, passing floating tolerance, unspecified latest runner, unlocked dependency set, or same-team rerun is presented as bitwise identity, supported-platform reproduction, independent reproduction, or scientific replication.</x:v>
      </x:c>
      <x:c r="D45" t="str">
        <x:v>High</x:v>
      </x:c>
      <x:c r="E45" t="str">
        <x:v>High</x:v>
      </x:c>
      <x:c r="F45" t="str">
        <x:v>Require 7 qualification levels, 18 environment fields, 8 output classes, 6 comparison classes, an explicit 6-cell future matrix, exact canonical/semantic comparisons, frozen numerical tolerances, unsupported-cell reasons, 20 fixtures, 28 gates, 38 refusals, and staged authorization.</x:v>
      </x:c>
      <x:c r="G45" t="str">
        <x:v>A tolerance is widened after results; OS/architecture/dependency identity is missing; latest runners drift silently; package and behavioral hashes are conflated; a single host or same team is called independent reproduction; or compatibility is promoted to replication/scientific proof.</x:v>
      </x:c>
      <x:c r="H45" t="str">
        <x:v>Codex</x:v>
      </x:c>
      <x:c r="I45" t="str">
        <x:v>Active</x:v>
      </x:c>
    </x:row>
    <x:row r="46">
      <x:c r="A46" t="str">
        <x:v>R45</x:v>
      </x:c>
      <x:c r="B46" t="str">
        <x:v>Edge export hides host-state drift or fallback</x:v>
      </x:c>
      <x:c r="C46" t="str">
        <x:v>A graph package can preserve logits while changing normalization, causal state, timestamps, frame schedule, decoder behavior, total bytes, or runtime partitioning.</x:v>
      </x:c>
      <x:c r="D46" t="str">
        <x:v>High</x:v>
      </x:c>
      <x:c r="E46" t="str">
        <x:v>Medium</x:v>
      </x:c>
      <x:c r="F46" t="str">
        <x:v>Freeze six package layers, 20 identity fields, exact state/timestamp/provenance checks, full fallback/operator accounting, and complete package/runtime/app resource measures before adoption.</x:v>
      </x:c>
      <x:c r="G46" t="str">
        <x:v>An export passes graph comparison while host-state identity, fallback counts, runtime/kernel/app bytes, or named-target evidence is missing.</x:v>
      </x:c>
      <x:c r="H46" t="str">
        <x:v>Codex</x:v>
      </x:c>
      <x:c r="I46" t="str">
        <x:v>Active</x:v>
      </x:c>
    </x:row>
    <x:row r="47">
      <x:c r="A47" t="str">
        <x:v>R46</x:v>
      </x:c>
      <x:c r="B47" t="str">
        <x:v>Stream-to-token clock, anomaly, state, and latency overclaim</x:v>
      </x:c>
      <x:c r="C47" t="str">
        <x:v>Source, corrected, arrival, preprocessing-ready, token-available, decoder, or render clocks are collapsed; gaps or reorder are silently repaired; resume state changes tokens; or replay scheduling is called capture-to-text latency.</x:v>
      </x:c>
      <x:c r="D47" t="str">
        <x:v>High</x:v>
      </x:c>
      <x:c r="E47" t="str">
        <x:v>High</x:v>
      </x:c>
      <x:c r="F47" t="str">
        <x:v>Require 7 distinct clock views, reversible correction ledgers, 8 anomaly classes, 5 schedules, 5 resume cuts, bounded hash-bound state, 18 provenance bindings, 32 gates, 42 refusals, and fail-closed unavailable latency fields.</x:v>
      </x:c>
      <x:c r="G47" t="str">
        <x:v>A source timestamp is overwritten; clocks without a mapping are subtracted; a gap is interpolated; duplicate/reorder is hidden; a token spans a reset; resume hashes drift; or replay is called live, real-time, decoding, neural, device, or hardware proof.</x:v>
      </x:c>
      <x:c r="H47" t="str">
        <x:v>Codex</x:v>
      </x:c>
      <x:c r="I47" t="str">
        <x:v>Active</x:v>
      </x:c>
      <x:c r="J47"/>
    </x:row>
    <x:row r="48">
      <x:c r="A48" t="str">
        <x:v>R47</x:v>
      </x:c>
      <x:c r="B48" t="str">
        <x:v>Device qualification, clock, privacy, and safety overclaim</x:v>
      </x:c>
      <x:c r="C48" t="str">
        <x:v>Device specification or connectivity is promoted into EEG quality, capture latency, privacy, home usability, or text-decoding evidence.</x:v>
      </x:c>
      <x:c r="D48" t="str">
        <x:v>High</x:v>
      </x:c>
      <x:c r="E48" t="str">
        <x:v>High</x:v>
      </x:c>
      <x:c r="F48" t="str">
        <x:v>Freeze Q0-Q5 levels, exact candidate identity, separate clocks, network-off audit, battery-only safety, four stage authorizations, 34 gates, and 46 refusals.</x:v>
      </x:c>
      <x:c r="G48" t="str">
        <x:v>A device is called qualified before packet/accounting gates pass; adapter time is called physical capture time; ExG is called EEG without montage/reference; or local storage is called privacy proof.</x:v>
      </x:c>
      <x:c r="H48" t="str">
        <x:v>Codex</x:v>
      </x:c>
      <x:c r="I48" t="str">
        <x:v>Active</x:v>
      </x:c>
    </x:row>
    <x:row r="49">
      <x:c r="A49" t="str">
        <x:v>R48</x:v>
      </x:c>
      <x:c r="B49" t="str">
        <x:v>Independent reproduction and scientific replication overclaim</x:v>
      </x:c>
      <x:c r="C49" t="str">
        <x:v>A maintainer rerun, assisted contributor, author-artifact reproduction, or one environment is promoted into scientific replication or generalization.</x:v>
      </x:c>
      <x:c r="D49" t="str">
        <x:v>High</x:v>
      </x:c>
      <x:c r="E49" t="str">
        <x:v>High</x:v>
      </x:c>
      <x:c r="F49" t="str">
        <x:v>Freeze independence identities, commit-reveal order, public communication, registered comparisons, discrepancy ledger, unprivileged CI, four stage authorizations, 36 gates, and 48 refusals.</x:v>
      </x:c>
      <x:c r="G49" t="str">
        <x:v>Private guidance, author/checker edits, early oracle reveal, hidden negative outcome, privileged fork execution, or population/platform/device claim from one artifact run.</x:v>
      </x:c>
      <x:c r="H49" t="str">
        <x:v>Codex</x:v>
      </x:c>
      <x:c r="I49" t="str">
        <x:v>Active</x:v>
      </x:c>
    </x:row>
  </x:sheetData>
  <x:dataValidations count="8">
    <x:dataValidation type="list" sqref="D2:D200">
      <x:formula1>"Low,Medium,High"</x:formula1>
    </x:dataValidation>
    <x:dataValidation type="list" sqref="E2:E200">
      <x:formula1>"Low,Medium,High"</x:formula1>
    </x:dataValidation>
    <x:dataValidation type="list" sqref="H2:H200">
      <x:formula1>"Cheick,Codex,GPT,TBD"</x:formula1>
    </x:dataValidation>
    <x:dataValidation type="list" sqref="I2:I200">
      <x:formula1>"Open,Watching,Mitigated,Closed"</x:formula1>
    </x:dataValidation>
    <x:dataValidation type="list" sqref="D12">
      <x:formula1>"Low,Medium,High"</x:formula1>
    </x:dataValidation>
    <x:dataValidation type="list" sqref="E12">
      <x:formula1>"Low,Medium,High"</x:formula1>
    </x:dataValidation>
    <x:dataValidation type="list" sqref="H12">
      <x:formula1>"Cheick,Codex,GPT,TBD"</x:formula1>
    </x:dataValidation>
    <x:dataValidation type="list" sqref="I12">
      <x:formula1>"Open,Watching,Mitigated,Closed"</x:formula1>
    </x:dataValidation>
  </x:dataValidations>
  <x:pageMargins left="0.7" right="0.7" top="0.75" bottom="0.75" header="0.3" footer="0.3"/>
  <x:tableParts count="1">
    <x:tablePart xmlns:r="http://schemas.openxmlformats.org/officeDocument/2006/relationships" r:id="R1f5a6e5c6ea341a1"/>
  </x:tableParts>
</x:worksheet>
</file>

<file path=xl/worksheets/sheet5.xml><?xml version="1.0" encoding="utf-8"?>
<x:worksheet xmlns:x="http://schemas.openxmlformats.org/spreadsheetml/2006/main">
  <x:sheetFormatPr defaultRowHeight="15"/>
  <x:cols>
    <x:col min="1" max="1" width="28" hidden="0" customWidth="1"/>
    <x:col min="2" max="2" width="80" hidden="0" customWidth="1"/>
  </x:cols>
  <x:sheetData>
    <x:row r="1" ht="30" customHeight="1">
      <x:c r="A1" s="6" t="str">
        <x:v>Field</x:v>
      </x:c>
      <x:c r="B1" s="6" t="str">
        <x:v>Fill-in</x:v>
      </x:c>
    </x:row>
    <x:row r="2" ht="42" customHeight="1">
      <x:c r="A2" s="12" t="str">
        <x:v>Loop ID</x:v>
      </x:c>
      <x:c r="B2" s="12" t="str"/>
    </x:row>
    <x:row r="3" ht="42" customHeight="1">
      <x:c r="A3" s="12" t="str">
        <x:v>Hypothesis</x:v>
      </x:c>
      <x:c r="B3" s="12" t="str"/>
    </x:row>
    <x:row r="4" ht="42" customHeight="1">
      <x:c r="A4" s="12" t="str">
        <x:v>Smallest useful dataset</x:v>
      </x:c>
      <x:c r="B4" s="12" t="str"/>
    </x:row>
    <x:row r="5" ht="42" customHeight="1">
      <x:c r="A5" s="12" t="str">
        <x:v>Baseline</x:v>
      </x:c>
      <x:c r="B5" s="12" t="str"/>
    </x:row>
    <x:row r="6" ht="42" customHeight="1">
      <x:c r="A6" s="12" t="str">
        <x:v>Variant</x:v>
      </x:c>
      <x:c r="B6" s="12" t="str"/>
    </x:row>
    <x:row r="7" ht="42" customHeight="1">
      <x:c r="A7" s="12" t="str">
        <x:v>Split type</x:v>
      </x:c>
      <x:c r="B7" s="12" t="str">
        <x:v>event / sentence / session / subject</x:v>
      </x:c>
    </x:row>
    <x:row r="8" ht="42" customHeight="1">
      <x:c r="A8" s="12" t="str">
        <x:v>Primary metric</x:v>
      </x:c>
      <x:c r="B8" s="12" t="str"/>
    </x:row>
    <x:row r="9" ht="42" customHeight="1">
      <x:c r="A9" s="12" t="str">
        <x:v>Secondary metric</x:v>
      </x:c>
      <x:c r="B9" s="12" t="str"/>
    </x:row>
    <x:row r="10" ht="42" customHeight="1">
      <x:c r="A10" s="12" t="str">
        <x:v>Acceptance gate</x:v>
      </x:c>
      <x:c r="B10" s="12" t="str"/>
    </x:row>
    <x:row r="11" ht="42" customHeight="1">
      <x:c r="A11" s="12" t="str">
        <x:v>Kill / iterate / proceed rule</x:v>
      </x:c>
      <x:c r="B11" s="12" t="str"/>
    </x:row>
    <x:row r="12" ht="42" customHeight="1">
      <x:c r="A12" s="12" t="str">
        <x:v>Command(s)</x:v>
      </x:c>
      <x:c r="B12" s="12" t="str"/>
    </x:row>
    <x:row r="13" ht="42" customHeight="1">
      <x:c r="A13" s="12" t="str">
        <x:v>Result summary</x:v>
      </x:c>
      <x:c r="B13" s="12" t="str"/>
    </x:row>
    <x:row r="14" ht="42" customHeight="1">
      <x:c r="A14" s="12" t="str">
        <x:v>Decision</x:v>
      </x:c>
      <x:c r="B14" s="12" t="str"/>
    </x:row>
    <x:row r="15" ht="42" customHeight="1">
      <x:c r="A15" s="12" t="str">
        <x:v>Next loop impact</x:v>
      </x:c>
      <x:c r="B15" s="12" t="str"/>
    </x:row>
  </x:sheetData>
  <x:dataValidations count="1">
    <x:dataValidation type="list" sqref="B13">
      <x:formula1>"Proceed,Iterate,Park,Kill"</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8" hidden="0" customWidth="1"/>
    <x:col min="2" max="2" width="34" hidden="0" customWidth="1"/>
    <x:col min="3" max="3" width="80" hidden="0" customWidth="1"/>
  </x:cols>
  <x:sheetData>
    <x:row r="1" ht="30" customHeight="1">
      <x:c r="A1" s="6" t="str">
        <x:v>Loop ID</x:v>
      </x:c>
      <x:c r="B1" s="6" t="str">
        <x:v>Loop Name</x:v>
      </x:c>
      <x:c r="C1" s="6" t="str">
        <x:v>Prompt Seed</x:v>
      </x:c>
    </x:row>
    <x:row r="2" ht="58" customHeight="1">
      <x:c r="A2" s="14" t="n">
        <x:v>1</x:v>
      </x:c>
      <x:c r="B2" s="14" t="str">
        <x:v>PR1 Closeout + Smoke Loop</x:v>
      </x:c>
      <x:c r="C2" s="14" t="str">
        <x:v>Read PR1 diff, run tests, generate one synthetic cache, then attempt real one-block extraction only if files exist.</x:v>
      </x:c>
    </x:row>
    <x:row r="3" ht="58" customHeight="1">
      <x:c r="A3" s="14" t="n">
        <x:v>2</x:v>
      </x:c>
      <x:c r="B3" s="14" t="str">
        <x:v>SpanishBCBL Manifest v1</x:v>
      </x:c>
      <x:c r="C3" s="14" t="str">
        <x:v>Harden `manifest-from-paths` and produce a manifest summary with explicit unknowns rather than guessing.</x:v>
      </x:c>
    </x:row>
    <x:row r="4" ht="58" customHeight="1">
      <x:c r="A4" s="14" t="n">
        <x:v>3</x:v>
      </x:c>
      <x:c r="B4" s="14" t="str">
        <x:v>Safe Tiny-Shard Selector</x:v>
      </x:c>
      <x:c r="C4" s="14" t="str">
        <x:v>Make the tiny selector safety-first: max bytes, max files, dry-run default, and clear planned download report.</x:v>
      </x:c>
    </x:row>
    <x:row r="5" ht="58" customHeight="1">
      <x:c r="A5" s="14" t="n">
        <x:v>4</x:v>
      </x:c>
      <x:c r="B5" s="14" t="str">
        <x:v>B2Q-mini Cache v0</x:v>
      </x:c>
      <x:c r="C5" s="14" t="str">
        <x:v>Define the first stable tiny-cache schema and add a `load-cache` smoke command or test.</x:v>
      </x:c>
    </x:row>
    <x:row r="6" ht="58" customHeight="1">
      <x:c r="A6" s="14" t="n">
        <x:v>5</x:v>
      </x:c>
      <x:c r="B6" s="14" t="str">
        <x:v>Metrics + Error Report v1</x:v>
      </x:c>
      <x:c r="C6" s="14" t="str">
        <x:v>Build a report command that turns predictions + targets into a simple JSON/Markdown scorecard.</x:v>
      </x:c>
    </x:row>
    <x:row r="7" ht="58" customHeight="1">
      <x:c r="A7" s="14" t="n">
        <x:v>6</x:v>
      </x:c>
      <x:c r="B7" s="14" t="str">
        <x:v>LM-only / Prior-only Baseline</x:v>
      </x:c>
      <x:c r="C7" s="14" t="str">
        <x:v>Implement an intentionally dumb but critical no-brain baseline and wire it into the report.</x:v>
      </x:c>
    </x:row>
    <x:row r="8" ht="58" customHeight="1">
      <x:c r="A8" s="14" t="n">
        <x:v>7</x:v>
      </x:c>
      <x:c r="B8" s="14" t="str">
        <x:v>Template / Nearest-Centroid Baseline</x:v>
      </x:c>
      <x:c r="C8" s="14" t="str">
        <x:v>Build a tiny transparent classifier before any neural net. Make it boring and trustworthy.</x:v>
      </x:c>
    </x:row>
    <x:row r="9" ht="58" customHeight="1">
      <x:c r="A9" s="14" t="n">
        <x:v>8</x:v>
      </x:c>
      <x:c r="B9" s="14" t="str">
        <x:v>Tiny Conv / EEGNet-style Baseline</x:v>
      </x:c>
      <x:c r="C9" s="14" t="str">
        <x:v>Add a tiny neural baseline without making the package heavy; optional deps and fast smoke test only.</x:v>
      </x:c>
    </x:row>
    <x:row r="10" ht="58" customHeight="1">
      <x:c r="A10" s="14" t="n">
        <x:v>9</x:v>
      </x:c>
      <x:c r="B10" s="14" t="str">
        <x:v>CTC Character Decoder Scaffold</x:v>
      </x:c>
      <x:c r="C10" s="14" t="str">
        <x:v>Build a CPU-bounded continuous sentence cache and minimal CTC scaffold from validated S21 block1. Keep Torch optional; preserve the no-brain baseline; report shape, bytes, runtime, memory, CER, and blank rate; make no full-v2 performance claim.</x:v>
      </x:c>
    </x:row>
    <x:row r="11" ht="84" customHeight="1">
      <x:c r="A11" s="14" t="n">
        <x:v>10</x:v>
      </x:c>
      <x:c r="B11" s="14" t="str">
        <x:v>Sampling-Rate Sweep</x:v>
      </x:c>
      <x:c r="C11" s="14" t="str">
        <x:v>Run 100/50/25 Hz sentence-cache extraction from validated S21 block1 with identical 16-channel selection. Report bytes, runtime, peak RSS, valid lengths, CTC feasibility, and signal summaries; do not train or claim a real decoder.</x:v>
      </x:c>
    </x:row>
    <x:row r="12" ht="96" customHeight="1">
      <x:c r="A12" s="14" t="n">
        <x:v>11</x:v>
      </x:c>
      <x:c r="B12" s="14" t="str">
        <x:v>Channel / Sensor Subset Sweep</x:v>
      </x:c>
      <x:c r="C12" s="14" t="str">
        <x:v>Extract one 102-magnetometer 100 Hz S21 base cache with geometry before preload. Run nested 76/51/25/16/8 spatial-FPS, variance, random, and first-order subsets under 128 MiB; report resources, proxy metrics, overlaps, and exact identity without an accuracy or OPM claim.</x:v>
      </x:c>
    </x:row>
    <x:row r="13" ht="58" customHeight="1">
      <x:c r="A13" s="14" t="n">
        <x:v>12</x:v>
      </x:c>
      <x:c r="B13" s="14" t="str">
        <x:v>Precision + Storage Sweep</x:v>
      </x:c>
      <x:c r="C13" s="14" t="str">
        <x:v>On fixed Loop 11 base, FPS-16, and variance-16 caches, compare float32, float16, and calibrated integer/serialization variants. Record bytes, encode/load time, reconstruction RMSE/max error, saturation, and metadata identity; do not train or call a format accuracy-preserving.</x:v>
      </x:c>
    </x:row>
    <x:row r="14" ht="58" customHeight="1">
      <x:c r="A14" s="14" t="n">
        <x:v>13</x:v>
      </x:c>
      <x:c r="B14" s="14" t="str">
        <x:v>Measured Lazy-Backend Gate</x:v>
      </x:c>
      <x:c r="C14" s="14" t="str">
        <x:v>Run the bounded NPZ access gate first. Record relative inefficiency and absolute time/memory/size separately; add no backend without a failed measured gate and exact semantic-parity plan.</x:v>
      </x:c>
    </x:row>
    <x:row r="15" ht="96" customHeight="1">
      <x:c r="A15" s="14" t="n">
        <x:v>14</x:v>
      </x:c>
      <x:c r="B15" s="14" t="str">
        <x:v>Split Protocol v1</x:v>
      </x:c>
      <x:c r="C15" s="14" t="str">
        <x:v>Keep the strict 55/6/5 membership and five test rows frozen. Fit every data-dependent transform on train rows, compare neural and no-brain reports with paired uncertainty, and acquire another capped paired session before real adapter or candidate work.</x:v>
      </x:c>
    </x:row>
    <x:row r="16" ht="86" customHeight="1">
      <x:c r="A16" s="14" t="n">
        <x:v>15</x:v>
      </x:c>
      <x:c r="B16" s="14" t="str">
        <x:v>Normalization + Adapter Baseline</x:v>
      </x:c>
      <x:c r="C16" s="14" t="str">
        <x:v>Develop a synthetic domain-shift normalization/adapter gate and use only session-1 train rows for fit plus validation rows for selection. Keep source test and observed session 2 frozen; pre-register any next real comparison.</x:v>
      </x:c>
    </x:row>
    <x:row r="17" ht="58" customHeight="1">
      <x:c r="A17" s="14" t="n">
        <x:v>16</x:v>
      </x:c>
      <x:c r="B17" s="14" t="str">
        <x:v>Calibration Curve Study</x:v>
      </x:c>
      <x:c r="C17" s="14" t="str">
        <x:v>Build a CPU- and storage-bounded synthetic calibration curve for the robust channel-affine adapter. Use at least five calibration sizes, multiple shift seeds, unpaired target calibration, and one non-diagonal or time-varying shift. Report uncertainty and resource costs, compare against identity, and do not open any real holdout.</x:v>
      </x:c>
    </x:row>
    <x:row r="18" ht="58" customHeight="1">
      <x:c r="A18" s="14" t="n">
        <x:v>17</x:v>
      </x:c>
      <x:c r="B18" s="14" t="str">
        <x:v>Gradio Demo v1</x:v>
      </x:c>
      <x:c r="C18" s="14" t="str">
        <x:v>Build an honest, CPU-bounded Gradio demo from existing compact artifacts. Show a signal snippet, target, prediction, CER/WER, uncertainty, calibration status, and exact proof posture. Measure startup/RSS, keep Gradio optional, and state that the current typed-sentence CTC is noncausal and not arbitrary-thought decoding.</x:v>
      </x:c>
    </x:row>
    <x:row r="19" ht="78" customHeight="1">
      <x:c r="A19" s="14" t="n">
        <x:v>18</x:v>
      </x:c>
      <x:c r="B19" s="14" t="str">
        <x:v>Leaderboard + Report Cards</x:v>
      </x:c>
      <x:c r="C19" s="14" t="str">
        <x:v>Build Loop 18 as a local, artifact-only leaderboard. Define one versioned report-card contract for metrics, split/proof posture, comparator, resources, config, cache provenance, and missing-field flags; ingest at least three existing baselines without retraining or reopening observed real holdouts; emit deterministic JSON/Markdown plus one sortable CLI table; test malformed and mixed-version cards; report runtime, RSS, and bytes.</x:v>
      </x:c>
    </x:row>
    <x:row r="20" ht="81" customHeight="1">
      <x:c r="A20" s="14" t="n">
        <x:v>19</x:v>
      </x:c>
      <x:c r="B20" s="14" t="str">
        <x:v>EEG / MOABB Bridge</x:v>
      </x:c>
      <x:c r="C20" s="14" t="str">
        <x:v>Begin Loop 19 with a read-only, bounded EEG/MOABB-style bridge discovery gate. Identify the smallest task-compatible public EEG fixture, exact license, download bytes, optional dependency cost, channel/time/label mapping, and proof boundary before fetching data or adding code. Keep EEG and MEG report-card cohorts separate, default to no download, and define a CPU/storage acceptance gate plus a no-signal comparator.</x:v>
      </x:c>
    </x:row>
    <x:row r="21" ht="91.5" customHeight="1">
      <x:c r="A21" s="14" t="n">
        <x:v>20</x:v>
      </x:c>
      <x:c r="B21" s="14" t="str">
        <x:v>Neurotokens / v2-ready Interface</x:v>
      </x:c>
      <x:c r="C21" s="14" t="str">
        <x:v>Build Loop 20 as a small modality-aware NeuroTokenCache v0 interface over existing MEG/EEG arrays and synthetic embeddings. Define stable shape, dtype, timebase, channel/sensor geometry, validity mask, modality, split membership, source hashes, transformations, and resource metadata. Add synthetic contract and round-trip tests plus a bounded CLI smoke artifact. Do not assume unreleased Brain2Qwerty v2 data, train a larger model, reopen observed holdouts, or imply that embeddings are learned neurotokens with demonstrated decoding value.</x:v>
      </x:c>
    </x:row>
    <x:row r="22" ht="99" customHeight="1">
      <x:c r="A22" s="12" t="n">
        <x:v>21</x:v>
      </x:c>
      <x:c r="B22" s="12" t="str">
        <x:v>Causal NeuroToken Chunk/Replay</x:v>
      </x:c>
      <x:c r="C22" s="12" t="str">
        <x:v>Build a synthetic causal replay gate before any learned encoder or decoder. Define zero/right context, bounded mutable state, global frame timestamps, drop-incomplete flush behavior, several adversarial chunk schedules, offline compatibility, schedule-invariant output, scheduler delay, compute RTF, and strict access/resource caps. Do not open target arrays, real neural data, observed holdouts, or claim text/end-to-end latency.</x:v>
      </x:c>
    </x:row>
    <x:row r="23" ht="99" customHeight="1">
      <x:c r="A23" s="12" t="n">
        <x:v>22</x:v>
      </x:c>
      <x:c r="B23" s="12" t="str">
        <x:v>Tiny Learned Causal Encoder</x:v>
      </x:c>
      <x:c r="C23" s="12" t="str">
        <x:v>Train one optional-Torch causal encoder on synthetic train rows only, choose stopping/configuration on validation, compare with a no-signal prior, and open a frozen synthetic test once. Preserve Loop 21 chunk/state/timestamp equivalence and enforce parameter, mutable-state, CPU-thread, runtime, RSS, and artifact caps. Do not add a text decoder, language model, real-cache conversion, or observed MEG/EEG evaluation in this gate.</x:v>
      </x:c>
    </x:row>
    <x:row r="24" ht="93.75" customHeight="1">
      <x:c r="A24" s="12" t="n">
        <x:v>23</x:v>
      </x:c>
      <x:c r="B24" s="12" t="str">
        <x:v>Streaming CTC Prefix Decoder</x:v>
      </x:c>
      <x:c r="C24" s="12" t="str">
        <x:v>Preregister a fresh language-model-free greedy and width-8 prefix CTC gate with exact blank/repeat semantics, partial traces, controls, five-schedule replay, and one conditional frozen test open.</x:v>
      </x:c>
    </x:row>
    <x:row r="25" ht="93.75" customHeight="1">
      <x:c r="A25" s="12" t="n">
        <x:v>23.5</x:v>
      </x:c>
      <x:c r="B25" s="12" t="str">
        <x:v>Blank Intercept Calibration</x:v>
      </x:c>
      <x:c r="C25" s="12" t="str">
        <x:v>Fit exactly one train-frame blank-logit intercept on fresh splits, keep the decoder and symbol logits frozen, require no-harm calibration/control/replay gates, and open the new test once only after validation passes.</x:v>
      </x:c>
    </x:row>
    <x:row r="26" ht="93.75" customHeight="1">
      <x:c r="A26" s="12" t="n">
        <x:v>24</x:v>
      </x:c>
      <x:c r="B26" s="12" t="str">
        <x:v>Local Precision / Runtime Preregistration</x:v>
      </x:c>
      <x:c r="C26" s="12" t="str">
        <x:v>Before candidate code, freeze executable numeric paths, fresh selection data, reference outputs, correctness tolerances, runtime/RSS/state/size measurements, resource caps, and a no-rerun rule excluding consumed seeds 2203, 2303, and 2353.</x:v>
      </x:c>
    </x:row>
    <x:row r="27" ht="112.5" customHeight="1">
      <x:c r="A27" s="12" t="str">
        <x:v>RW1</x:v>
      </x:c>
      <x:c r="B27" s="12" t="str">
        <x:v>Metadata-Only Local Intake</x:v>
      </x:c>
      <x:c r="C27" s="12" t="str">
        <x:v>Recognize BrainVision, EDF/EDF+, BDF, EEGLAB, FIF, and BIDS synthetic fixtures; validate safe paths, companions, caps, deterministic JSON/Markdown, access counters, and refusal reasons without reading binary signal arrays, labels, targets, or network data.</x:v>
      </x:c>
    </x:row>
    <x:row r="28" ht="112.5" customHeight="1">
      <x:c r="A28" s="12" t="str">
        <x:v>RW2</x:v>
      </x:c>
      <x:c r="B28" s="12" t="str">
        <x:v>Signal-Quality Contract Preregistration</x:v>
      </x:c>
      <x:c r="C28" s="12" t="str">
        <x:v>Before implementation or signal access, freeze optional reader behavior, bounded samples/channels/time/bytes, units, reference, filters, geometry, events, PSD, warnings, privacy, one-thread resources, synthetic fixtures, and no-auto-deletion rules.</x:v>
      </x:c>
    </x:row>
    <x:row r="29" ht="123.75" customHeight="1">
      <x:c r="A29" s="12" t="str">
        <x:v>RW2-Impl</x:v>
      </x:c>
      <x:c r="B29" s="12" t="str">
        <x:v>Synthetic Bounded Signal Quality</x:v>
      </x:c>
      <x:c r="C29" s="12" t="str">
        <x:v>Implement commit eacb231 exactly on generated BrainVision, EDF/EDF+, BDF, external-FDT EEGLAB, FIF, and BIDS fixtures. Use explicit lazy optional readers, one thread, bounded windows/arrays/output, strict source binding, redaction and no-mutation checks, descriptive metrics only, exact malformed/refusal tests, and no real/S20/consumed/target/model/training access.</x:v>
      </x:c>
    </x:row>
    <x:row r="30" ht="126" customHeight="1">
      <x:c r="A30" s="12" t="str">
        <x:v>RW3</x:v>
      </x:c>
      <x:c r="B30" s="12" t="str">
        <x:v>Offline Replay / Live-Source Equivalence Preregistration</x:v>
      </x:c>
      <x:c r="C30" s="12" t="str">
        <x:v>Before installing or using BrainFlow, LSL, or hardware, freeze one versioned chunk/source schema; exact payload, channel, timestamp, clock-correction, packet-loss, ordering, mutable-state, flush, and schedule semantics; synthetic/playback dependency boundaries; privacy and local-only rules; one-thread runtime/RSS/state/output caps; exact replay tolerances; and proceed/park/kill rules. Do not open real/consumed/S20 data, train a model, or claim live, portable, real-time, or decoding support.</x:v>
      </x:c>
    </x:row>
    <x:row r="31" ht="126" customHeight="1">
      <x:c r="A31" s="12" t="str">
        <x:v>RW3-Review</x:v>
      </x:c>
      <x:c r="B31" s="12" t="str">
        <x:v>Review Frozen Replay Equivalence Registration</x:v>
      </x:c>
      <x:c r="C31" s="12" t="str">
        <x:v>Review commit c3d1f01, the RW3 primary-source research, preregistration, machine contract, and invariant tests. Confirm five schedules, 18 future fixture families, 30 refusal IDs, four sequential stages, strict timestamp/anomaly/hash/resource/access rules, and the no-runtime/no-decoding boundary. Do not implement Stage A, install BrainFlow/LSL/PyXDF, open sockets or streams, touch hardware or real/consumed data, create targets, run models, or train without separate explicit authorization.</x:v>
      </x:c>
    </x:row>
    <x:row r="32" ht="126" customHeight="1">
      <x:c r="A32" s="12" t="str">
        <x:v>RW3-StageA-Decision</x:v>
      </x:c>
      <x:c r="B32" s="12" t="str">
        <x:v>Decide Stage A Only</x:v>
      </x:c>
      <x:c r="C32" s="12" t="str">
        <x:v>Review docs/RW3_STAGE_A_AUTHORIZATION_PACKET.md and registries/rw3_stage_a_authorization_request.v0.json. Confirm the c3d1f01 contract hash, 90 proposed cases, 30 refusals, one-thread caps, forbidden work, and authorization-only commit sequence. Decide explicitly to authorize Stage A only, amend the packet, or hold. General continuation is not authorization. Do not implement anything; BrainFlow, LSL, PyXDF, sockets, devices, real or consumed data, targets, models, training, and Stages B-D remain unauthorized.</x:v>
      </x:c>
    </x:row>
    <x:row r="33" ht="39.599998474121094" hidden="0" customHeight="1">
      <x:c r="A33" s="14" t="str">
        <x:v>Loop24-Execute</x:v>
      </x:c>
      <x:c r="B33" s="14" t="str">
        <x:v>Authorized Target-Free Precision / Runtime Gate (Consumed)</x:v>
      </x:c>
      <x:c r="C33" s="14" t="str">
        <x:v>Historical consumed protocol only. Loop 24 ran once after its authorization-only commit and is now parked. Do not rerun seed 2401 or open seed 2402. Read docs/LOOP_24_LOCAL_PRECISION_RUNTIME.md and make the next action a separate Loop 25 preregistration decision.</x:v>
      </x:c>
    </x:row>
    <x:row r="34" ht="126" hidden="0" customHeight="1">
      <x:c r="A34" s="14" t="str">
        <x:v>Loop25-Result-Audit</x:v>
      </x:c>
      <x:c r="B34" s="14" t="str">
        <x:v>Audit Completed Causal Mechanics Without Rerun</x:v>
      </x:c>
      <x:c r="C34" s="14" t="str">
        <x:v>Read docs/LOOP_25_CAUSAL_PREPROCESSING_RESULT.md and registries/loop25_causal_preprocessing_result.v1.json. Verify the immutable request, separate green authorization 1e7296a, green implementation 439f151, static-first access order, 24/24 items, 168/240/72 replay checks, zero protected counters, measured caps, and no-rerun boundary. Do not regenerate fixtures, reopen seeds 2501/2502, rerun the gate, or promote a scientific claim.</x:v>
      </x:c>
    </x:row>
    <x:row r="35" ht="135" customHeight="1">
      <x:c r="A35" s="12" t="str">
        <x:v>Loop26-Preregister</x:v>
      </x:c>
      <x:c r="B35" s="12" t="str">
        <x:v>Preregister Reserved S21 Neural-Effect Gate Without Executing</x:v>
      </x:c>
      <x:c r="C35" s="12" t="str">
        <x:v>Read docs/LOOP_26_PRIMARY_SOURCE_RESEARCH.md and registries/loop26_research_boundary.v0.json. Freeze the 55/6/5 split, 2,908-parameter causal candidate, 2,884-parameter linear comparator, six controls, all 64 paired assignments, target-blind prediction hashes, exact access order, one-thread caps, and source-test/session-2 exclusions. Produce a hash-bound preregistration and decision packet only. Do not read caches or targets, train or run a model, open validation, or treat this prompt as authorization.</x:v>
      </x:c>
    </x:row>
    <x:row r="36" ht="144" customHeight="1">
      <x:c r="A36" s="12" t="str">
        <x:v>Loop30-Research</x:v>
      </x:c>
      <x:c r="B36" s="12" t="str">
        <x:v>Review Target-Free Local Replay Boundary Without Executing It</x:v>
      </x:c>
      <x:c r="C36" s="12" t="str">
        <x:v>Loop 30 planning research only; no execution.</x:v>
      </x:c>
    </x:row>
    <x:row r="37" ht="92.4000015258789" hidden="0" customHeight="1">
      <x:c r="A37" s="12" t="str">
        <x:v>Loop31-Research</x:v>
      </x:c>
      <x:c r="B37" s="12" t="str">
        <x:v>Review Neural-Attribution Firewall Without Executing It</x:v>
      </x:c>
      <x:c r="C37" s="12" t="str">
        <x:v>Loop 31 planning research only; no execution.</x:v>
      </x:c>
    </x:row>
    <x:row r="38" ht="120" customHeight="1">
      <x:c r="A38" s="39" t="str">
        <x:v>Loop32-Research</x:v>
      </x:c>
      <x:c r="B38" s="39" t="str">
        <x:v>Review Fresh-Person Calibration Boundary Without Executing It</x:v>
      </x:c>
      <x:c r="C38" s="39"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39" ht="126" customHeight="1">
      <x:c r="A39" t="str">
        <x:v>Loop30-Research</x:v>
      </x:c>
      <x:c r="B39" t="str">
        <x:v>Review Target-Free Local Replay Boundary Without Executing It</x:v>
      </x:c>
      <x:c r="C39" t="str">
        <x:v>Read docs/LOOP_30_PRIMARY_SOURCE_RESEARCH.md and registries/loop30_research_boundary.v0.json. Confirm four source modes, a new target-free trace only after authorization, 30 event fields, nine clock domains, six latency levels, explicit revisions/finalization, stability not confidence/correctness, fixed 127.0.0.1 privacy settings, accessible status/log semantics, 18 future gates, 30 refusals, and 30 false permissions. Loop 30 remains Not Started. Do not select a seed, generate a trace, reopen Loop 23/24 or S7/S21 artifacts, launch a UI/server/browser, read targets or models, open a socket/stream, touch a device, or treat replay as live/end-to-end neural decoding.</x:v>
      </x:c>
    </x:row>
    <x:row r="40" ht="136" customHeight="1">
      <x:c r="A40" t="str">
        <x:v>Loop31-Research</x:v>
      </x:c>
      <x:c r="B40" t="str">
        <x:v>Review Neural-Attribution Firewall Without Executing It</x:v>
      </x:c>
      <x:c r="C40" t="str">
        <x:v>Read docs/LOOP_31_PRIMARY_SOURCE_RESEARCH.md and registries/loop31_research_boundary.v0.json. Confirm the 10-condition encoder matrix, contingent 5-condition LLM/Neuro Token matrix, five separate estimands, exact six-row intersection-union math, timing/context allowlist, target-blind prediction freeze, six claim classes, 18 future gates, 24 refusals, and 19 false permissions. Loop 31 remains Not Started. Do not open a cache, target, checkpoint, model, validation row, consumed S7/S21 evidence, S20/S25, LLM, Neuro Token, stream, device, or hardware; do not label sensor-signal dependence as brain-specific before Loop 35.</x:v>
      </x:c>
    </x:row>
    <x:row r="41" ht="148" customHeight="1">
      <x:c r="A41" t="str">
        <x:v>Loop32-Research</x:v>
      </x:c>
      <x:c r="B41" t="str">
        <x:v>Review Fresh-Person Calibration Boundary Without Executing It</x:v>
      </x:c>
      <x:c r="C41" t="str">
        <x:v>Read docs/LOOP_32_PRIMARY_SOURCE_RESEARCH.md and registries/loop32_research_boundary.v0.json. Confirm four distinct modes, the causal 32-parameter adapter recommendation, nested 0/2/4/8/16/32 sentence budgets, physical 32/16/48 split floors, zero-shot-before-calibration freeze order, six conditions, seven claims, 20 gates, 26 refusals, and 22 false permissions. Loop 32 remains Not Started. Do not select or open a participant, repurpose S25, read signal/labels/targets, run a checkpoint or adapter, train, evaluate, download, stream, or touch a device; do not call calibration zero-shot or one person population evidence.</x:v>
      </x:c>
    </x:row>
    <x:row r="42">
      <x:c r="A42" t="str">
        <x:v>Loop33-Research</x:v>
      </x:c>
      <x:c r="B42" t="str">
        <x:v>Review Bounded Scaling Boundary Without Executing It</x:v>
      </x:c>
      <x:c r="C42" t="str">
        <x:v>Read docs/LOOP_33_PRIMARY_SOURCE_RESEARCH.md and registries/loop33_research_boundary.v0.json. Confirm nested 8/16/24/32/44/55 unique-sentence prefixes, at most three seeds and 18 fits, matched no-signal priors, the target-blind shared Loop 26/31/33 validation order, four conditions, seven outcomes, seven claims, 20 gates, 30 refusals, and 23 false permissions. Loop 33 remains Not Started. Do not open train/validation payloads or targets, run a model/control, train, score, duplicate rows as physical repetitions, acquire data, transfer a 90-hour exponent, or claim population, energy, real-time, portable, at-home, assistive, diagnostic, or clinical behavior.</x:v>
      </x:c>
    </x:row>
    <x:row r="43">
      <x:c r="A43" t="str">
        <x:v>Loop34-Research</x:v>
      </x:c>
      <x:c r="B43" t="str">
        <x:v>Review Confidence Boundary Without Executing It</x:v>
      </x:c>
      <x:c r="C43" t="str">
        <x:v>Read docs/LOOP_34_PRIMARY_SOURCE_RESEARCH.md and registries/loop34_research_boundary.v0.json. Confirm seven confidence semantics, eight score/control roles, recommended fresh 128/64/256 synthetic calibration/selection/final partitions, the six-row real-data insufficiency boundary, bounded exact-sequence loss, generalized-risk and revision-delay reporting, eight outcomes, seven claims, 20 gates, 30 refusals, and 26 false permissions. Loop 34 remains Not Started and confidence unavailable. Do not generate a fixture, reuse real/consumed text, compute features, fit a probability map or threshold, open targets, score, expose confidence, access S20/S25, or call stability correctness, raw score probability, or synthetic evidence real confidence.</x:v>
      </x:c>
    </x:row>
    <x:row r="44" ht="15" hidden="0" customHeight="1">
      <x:c r="A44" t="str">
        <x:v>Loop35-Research</x:v>
      </x:c>
      <x:c r="B44" t="str">
        <x:v>Review Peripheral-Confound Firewall Without Executing It</x:v>
      </x:c>
      <x:c r="C44" t="str">
        <x:v>Read docs/LOOP_35_PRIMARY_SOURCE_RESEARCH.md and registries/loop35_research_boundary.v0.json. Confirm 10 confound classes, 9 future synchronized stream classes, 13 conditions, 3 separately authorized stages, physical 32/16/48 recommendations, the strongest-peripheral and brain-sensor estimands, 65,535 paired assignments plus observed, 8 outcomes, 7 claims, 24 gates, 32 refusals, and 31 false permissions. Loop 35 remains Not Started. Do not generate a fixture, reopen consumed S7/S21 evidence, record EOG/EMG/gaze/motion/audio, open protected data or targets, run a model/control, fit residualization, train, score, download, access S20/S25, stream, touch a device/hardware, impute missing controls, or claim absolute brain origin, no-keypress transfer, patient benefit, real-time behavior, portable hardware, or clinical use.</x:v>
      </x:c>
      <x:c r="D44"/>
      <x:c r="E44"/>
      <x:c r="F44"/>
    </x:row>
    <x:row r="45" ht="15" hidden="0" customHeight="1">
      <x:c r="A45" t="str">
        <x:v>Loop36-Research</x:v>
      </x:c>
      <x:c r="B45" t="str">
        <x:v>Review Geometry/Reference Boundary Without Executing It</x:v>
      </x:c>
      <x:c r="C45" t="str">
        <x:v>Read docs/LOOP_36_PRIMARY_SOURCE_RESEARCH.md and registries/loop36_research_boundary.v0.json. Confirm 6 representation layers, 5 modality profiles, 24 channel fields, 12 operation classes, 16 fixture families, explicit alias/unit/rigid-transform/reference/interpolation policies, 8 outcomes, 7 claims, 22 gates, 30 refusals, and 29 false permissions. Loop 36 remains Not Started. Do not generate a fixture, inspect a real header, reopen S7/S21, access S20/S25, read signal/targets, fit or apply aliases/transforms, convert units, rereference, compensate, interpolate, localize sources, run a model, train, download, stream, touch a device/hardware, infer units/frames, substitute a template montage, select a map by accuracy, or claim numerical/model/device equivalence.</x:v>
      </x:c>
      <x:c r="D45"/>
      <x:c r="E45"/>
      <x:c r="F45"/>
    </x:row>
    <x:row r="46" ht="15" hidden="0" customHeight="1">
      <x:c r="A46" t="str">
        <x:v>Loop37-Research</x:v>
      </x:c>
      <x:c r="B46" t="str">
        <x:v>Review BIDS Derivative/Provenance Boundary Without Executing It</x:v>
      </x:c>
      <x:c r="C46" t="str">
        <x:v>Read docs/LOOP_37_PRIMARY_SOURCE_RESEARCH.md and registries/loop37_research_boundary.v0.json. Confirm 6 export layers, 5 artifact profiles, 15 stable BIDS mappings, 16 explicit NDK extension fields, 20 fixture families, 4 separately authorized stages, 8 outcomes, 6 claims, 24 gates, 32 refusals, and 29 false permissions. Loop 37 remains Not Started and unauthorized. Do not generate a fixture or derivative tree, install/run a validator, open any artifact or protected payload, hash real files, map real subjects, copy raw data, write outside a new bounded root, release/upload, run a model, train, download, stream, touch a device/hardware, invent BIDS metadata, leak local paths/targets/free text, or call non-standard payloads BIDS-compliant, privacy-safe, reproducible, or shareable.</x:v>
      </x:c>
      <x:c r="D46"/>
      <x:c r="E46"/>
      <x:c r="F46"/>
    </x:row>
    <x:row r="47" ht="15" hidden="0" customHeight="1">
      <x:c r="A47" t="str">
        <x:v>Loop38-Research</x:v>
      </x:c>
      <x:c r="B47" t="str">
        <x:v>Review Neural-Data Privacy/Lifecycle Boundary Without Executing It</x:v>
      </x:c>
      <x:c r="C47" t="str">
        <x:v>Read docs/LOOP_38_PRIMARY_SOURCE_RESEARCH.md and registries/loop38_research_boundary.v0.json. Confirm 5 sensitivity levels, 8 artifact classes, 10 lifecycle surfaces, 12 sensitive-field classes, 12 threats, 5 deletion-receipt levels, 24 fixture families, 4 separately authorized stages, 8 outcomes, 6 claims, 26 gates, 36 refusals, and 32 false permissions. Loop 38 remains Not Started and unauthorized. Do not create a fixture or scanner, inspect protected roots, open neural/embedding/target/consent payloads, delete files, follow links, rewrite history, clean backups/remotes/clones/CI, run an identity attack, make consent/license determinations, release/upload, run a model, train, download, stream, touch a device/hardware, or call path absence anonymous, privacy-safe, securely deleted, or shareable. Unknown copies remain unresolved.</x:v>
      </x:c>
      <x:c r="D47"/>
      <x:c r="E47"/>
      <x:c r="F47"/>
    </x:row>
    <x:row r="48">
      <x:c r="A48" t="str">
        <x:v>Loop39-Research</x:v>
      </x:c>
      <x:c r="B48" t="str">
        <x:v>Review Cross-Machine Reproducibility Boundary Without Executing It</x:v>
      </x:c>
      <x:c r="C48" t="str">
        <x:v>Read docs/LOOP_39_PRIMARY_SOURCE_RESEARCH.md and registries/loop39_research_boundary.v0.json. Confirm 7 qualification levels, 18 environment identity fields, 8 output classes, 6 comparison classes, 6 future matrix cells, 20 fixture families, 4 separately authorized stages, 8 outcomes, 7 claims, 28 gates, 38 refusals, and 36 false permissions. Loop 39 remains Not Started and unauthorized. Do not create a fixture or environment manifest, install or lock dependencies, mutate CI, build packages, open protected payloads, run a model, train, download, upload artifacts, recruit an independent reproducer, package an edge runtime, stream, touch a device/hardware, widen tolerances after results, or call one-host replay cross-machine reproduction, same-team work independent reproduction, compatibility replication, or any result neural advantage, decoding, real-time, edge, device, or hardware proof.</x:v>
      </x:c>
    </x:row>
    <x:row r="49">
      <x:c r="A49" t="str">
        <x:v>Loop40-Research</x:v>
      </x:c>
      <x:c r="B49" t="str">
        <x:v>Review Edge Runtime Packaging Boundary Without Executing It</x:v>
      </x:c>
      <x:c r="C49" t="str">
        <x:v>Read docs/LOOP_40_PRIMARY_SOURCE_RESEARCH.md and registries/loop40_research_boundary.v0.json. Confirm 7 qualification levels, 6 package layers, 4 unselected backend profiles, 20 identity fields, 8 output classes, 6 comparison classes, 24 fixtures, 4 stages, 30 gates, 40 refusals, and 40 false permissions. Loop 40 remains Not Started and unauthorized. Do not select a target/backend, install, export, convert, package, infer, profile, run a memory planner/delegate/simulator/app, open protected data, train, touch a device/hardware, hide fallback, change float32, or call packaging neural, decoding, capture-to-text latency, or portable-hardware proof.</x:v>
      </x:c>
    </x:row>
    <x:row r="50">
      <x:c r="A50" t="str">
        <x:v>Loop41-Research</x:v>
      </x:c>
      <x:c r="B50" t="str">
        <x:v>Review Stream-To-NeuroToken Integration Boundary Without Executing It</x:v>
      </x:c>
      <x:c r="C50" t="str">
        <x:v>Read docs/LOOP_41_PRIMARY_SOURCE_RESEARCH.md and registries/loop41_research_boundary.v0.json. Confirm 6 integration layers, 7 clock views, 8 anomaly classes, 5 inherited schedules, 5 resume cuts, 18 hash bindings, 28 fixture families, 4 stages, 32 gates, 42 refusals, and 42 false permissions. Loop 41 remains Not Started and unauthorized. Do not create a fixture, seed, source chunk, correction, preprocessing output, adapter, state, NeuroToken payload, run a schedule/resume matrix, open protected data/targets/models, train, decode, use an LLM, launch a server/browser/socket/stream, import an SDK, touch a device/hardware, collapse clocks, repair anomalies silently, or call replay capture-to-text latency, decoding, neural information, live behavior, or portable hardware.</x:v>
      </x:c>
    </x:row>
    <x:row r="51">
      <x:c r="A51" t="str">
        <x:v>Loop42-Research</x:v>
      </x:c>
      <x:c r="B51" t="str">
        <x:v>Review One-Device Qualification Boundary Without Executing It</x:v>
      </x:c>
      <x:c r="C51" t="str">
        <x:v>Read docs/LOOP_42_PRIMARY_SOURCE_RESEARCH.md and registries/loop42_research_boundary.v0.json. Confirm 28 identity fields, 16 packet fields, 7 timing observables, 10 anomalies, 10 privacy surfaces, 10 safety requirements, 6 qualification levels, 4 stages, 30 fixtures, 34 gates, 46 refusals, and 45 false permissions. Loop 42 remains Not Started and unauthorized. Do not import an SDK, create a fixture, run playback, discover or connect a device, open a socket or stream, collect participant data, access targets/models, train, decode, use Daisy/Wi-Fi/cloud, infer physical capture time from adapter timestamps, or call specification review connectivity, EEG quality, privacy, real-time behavior, portable hardware, or decoding proof.</x:v>
      </x:c>
    </x:row>
    <x:row r="52">
      <x:c r="A52" t="str">
        <x:v>Loop43-Research</x:v>
      </x:c>
      <x:c r="B52" t="str">
        <x:v>Review Independent Reproduction Boundary Without Executing It</x:v>
      </x:c>
      <x:c r="C52" t="str">
        <x:v>Read docs/LOOP_43_PRIMARY_SOURCE_RESEARCH.md and registries/loop43_research_boundary.v0.json. Confirm 7 qualification levels, 16 independence fields, 28 packet fields, 34 submission fields, 8 comparisons, 12 discrepancies, 4 stages, 32 fixtures, 36 gates, 48 refusals, and 48 false permissions. Confirm the validator incident: 136 cache JSON files, 11 known consumed session-2 files, zero raw arrays/FIF/MAT/model/tuning/scoring, and the zero-consumed-read claim withdrawn. Loop 43 remains Not Started and unauthorized. Do not create a packet, oracle, fixture, issue, workflow, outreach, contributor submission, adjudication, archive, DOI, badge, release, protected payload, model, stream, device, or runtime. Do not call repeatability independent, author-artifact reproduction scientific replication, or one environment population/platform/device generalization.</x:v>
      </x:c>
    </x:row>
  </x:sheetData>
  <x:pageMargins left="0.7" right="0.7" top="0.75" bottom="0.75" header="0.3" footer="0.3"/>
  <x:tableParts count="1">
    <x:tablePart xmlns:r="http://schemas.openxmlformats.org/officeDocument/2006/relationships" r:id="R30fccff3da224435"/>
  </x:tableParts>
</x:worksheet>
</file>

<file path=xl/worksheets/sheet7.xml><?xml version="1.0" encoding="utf-8"?>
<x:worksheet xmlns:x="http://schemas.openxmlformats.org/spreadsheetml/2006/main">
  <x:sheetFormatPr defaultRowHeight="15"/>
  <x:cols>
    <x:col min="1" max="1" width="9.130000114440918" hidden="0" customWidth="1"/>
    <x:col min="2" max="2" width="6.25" hidden="0" customWidth="1"/>
    <x:col min="3" max="3" width="5.75" hidden="0" customWidth="1"/>
    <x:col min="4" max="4" width="4.75" hidden="0" customWidth="1"/>
    <x:col min="5" max="5" width="9.130000114440918" hidden="0" customWidth="1"/>
    <x:col min="6" max="6" width="7" hidden="0" customWidth="1"/>
    <x:col min="7" max="7" width="8.380000114440918" hidden="0" customWidth="1"/>
    <x:col min="8" max="8" width="6.880000114440918" hidden="0" customWidth="1"/>
    <x:col min="9" max="9" width="8.75" hidden="0" customWidth="1"/>
  </x:cols>
  <x:sheetData>
    <x:row r="1" ht="30" customHeight="1">
      <x:c r="A1" s="6" t="str">
        <x:v>Status</x:v>
      </x:c>
      <x:c r="B1" s="6" t="str">
        <x:v>Priority</x:v>
      </x:c>
      <x:c r="C1" s="6" t="str">
        <x:v>Owner</x:v>
      </x:c>
      <x:c r="D1" s="6" t="str">
        <x:v>Effort</x:v>
      </x:c>
      <x:c r="E1" s="6" t="str">
        <x:v>Complexity</x:v>
      </x:c>
      <x:c r="F1" s="6" t="str">
        <x:v>Decision</x:v>
      </x:c>
      <x:c r="G1" s="6" t="str">
        <x:v>Likelihood</x:v>
      </x:c>
      <x:c r="H1" s="6" t="str">
        <x:v>Impact</x:v>
      </x:c>
      <x:c r="I1" s="6" t="str">
        <x:v>Risk Status</x:v>
      </x:c>
    </x:row>
    <x:row r="2">
      <x:c r="A2" t="str">
        <x:v>Not Started</x:v>
      </x:c>
      <x:c r="B2" t="str">
        <x:v>P0</x:v>
      </x:c>
      <x:c r="C2" t="str">
        <x:v>Cheick</x:v>
      </x:c>
      <x:c r="D2" t="str">
        <x:v>XS</x:v>
      </x:c>
      <x:c r="E2" t="str">
        <x:v>Low</x:v>
      </x:c>
      <x:c r="F2" t="str">
        <x:v>Proceed</x:v>
      </x:c>
      <x:c r="G2" t="str">
        <x:v>Low</x:v>
      </x:c>
      <x:c r="H2" t="str">
        <x:v>Low</x:v>
      </x:c>
      <x:c r="I2" t="str">
        <x:v>Open</x:v>
      </x:c>
    </x:row>
    <x:row r="3">
      <x:c r="A3" t="str">
        <x:v>In Progress</x:v>
      </x:c>
      <x:c r="B3" t="str">
        <x:v>P1</x:v>
      </x:c>
      <x:c r="C3" t="str">
        <x:v>Codex</x:v>
      </x:c>
      <x:c r="D3" t="str">
        <x:v>S</x:v>
      </x:c>
      <x:c r="E3" t="str">
        <x:v>Medium</x:v>
      </x:c>
      <x:c r="F3" t="str">
        <x:v>Iterate</x:v>
      </x:c>
      <x:c r="G3" t="str">
        <x:v>Medium</x:v>
      </x:c>
      <x:c r="H3" t="str">
        <x:v>Medium</x:v>
      </x:c>
      <x:c r="I3" t="str">
        <x:v>Watching</x:v>
      </x:c>
    </x:row>
    <x:row r="4">
      <x:c r="A4" t="str">
        <x:v>Review</x:v>
      </x:c>
      <x:c r="B4" t="str">
        <x:v>P2</x:v>
      </x:c>
      <x:c r="C4" t="str">
        <x:v>GPT</x:v>
      </x:c>
      <x:c r="D4" t="str">
        <x:v>M</x:v>
      </x:c>
      <x:c r="E4" t="str">
        <x:v>High</x:v>
      </x:c>
      <x:c r="F4" t="str">
        <x:v>Park</x:v>
      </x:c>
      <x:c r="G4" t="str">
        <x:v>High</x:v>
      </x:c>
      <x:c r="H4" t="str">
        <x:v>High</x:v>
      </x:c>
      <x:c r="I4" t="str">
        <x:v>Mitigated</x:v>
      </x:c>
    </x:row>
    <x:row r="5">
      <x:c r="A5" t="str">
        <x:v>Blocked</x:v>
      </x:c>
      <x:c r="B5" t="str">
        <x:v>P3</x:v>
      </x:c>
      <x:c r="C5" t="str">
        <x:v>TBD</x:v>
      </x:c>
      <x:c r="D5" t="str">
        <x:v>L</x:v>
      </x:c>
      <x:c r="E5" t="str">
        <x:v>Spike</x:v>
      </x:c>
      <x:c r="F5" t="str">
        <x:v>Kill</x:v>
      </x:c>
      <x:c r="G5" t="str"/>
      <x:c r="H5" t="str"/>
      <x:c r="I5" t="str">
        <x:v>Closed</x:v>
      </x:c>
    </x:row>
    <x:row r="6">
      <x:c r="A6" t="str">
        <x:v>Done</x:v>
      </x:c>
      <x:c r="B6" t="str"/>
      <x:c r="C6" t="str"/>
      <x:c r="D6" t="str">
        <x:v>XL</x:v>
      </x:c>
      <x:c r="E6" t="str"/>
      <x:c r="F6" t="str"/>
      <x:c r="G6" t="str"/>
      <x:c r="H6" t="str"/>
      <x:c r="I6" t="str"/>
    </x:row>
    <x:row r="7">
      <x:c r="A7" t="str">
        <x:v>Parked</x:v>
      </x:c>
      <x:c r="B7" t="str"/>
      <x:c r="C7" t="str"/>
      <x:c r="D7" t="str"/>
      <x:c r="E7" t="str"/>
      <x:c r="F7" t="str"/>
      <x:c r="G7" t="str"/>
      <x:c r="H7" t="str"/>
      <x:c r="I7" t="str"/>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18.889999389648438" hidden="0" customWidth="1"/>
    <x:col min="3" max="3" width="33.33000183105469" hidden="0" customWidth="1"/>
    <x:col min="4" max="4" width="11.109999656677246" hidden="0" customWidth="1"/>
    <x:col min="5" max="5" width="28.889999389648438" hidden="0" customWidth="1"/>
    <x:col min="6" max="6" width="37.779998779296875" hidden="0" customWidth="1"/>
    <x:col min="7" max="7" width="17.780000686645508" hidden="0" customWidth="1"/>
    <x:col min="8" max="8" width="21.110000610351562" hidden="0" customWidth="1"/>
    <x:col min="9" max="9" width="31.110000610351562" hidden="0" customWidth="1"/>
  </x:cols>
  <x:sheetData>
    <x:row r="1" ht="28.5" customHeight="1">
      <x:c r="A1" s="44" t="str">
        <x:v>NeuroDecodeKit Real-World Practice Track</x:v>
      </x:c>
      <x:c r="B1" s="44"/>
      <x:c r="C1" s="44"/>
      <x:c r="D1" s="44"/>
      <x:c r="E1" s="44"/>
      <x:c r="F1" s="44"/>
      <x:c r="G1" s="44"/>
      <x:c r="H1" s="44"/>
      <x:c r="I1" s="44"/>
    </x:row>
    <x:row r="2" ht="42" customHeight="1">
      <x:c r="A2" s="48" t="str">
        <x:v>Parallel to Loop 24. Its frozen target-free run is now parked after 65.154951 s exceeded the 60 s cap; float32 is retained, seed 2401 is consumed, and seed 2402 stayed unopened. RW3 Stage A remains unauthorized at 163ff2f, and RW4/S20 remains blocked. Real data, targets, training, energy, streams, devices, and hardware are not authorized.</x:v>
      </x:c>
      <x:c r="B2" s="48"/>
      <x:c r="C2" s="48"/>
      <x:c r="D2" s="48"/>
      <x:c r="E2" s="48"/>
      <x:c r="F2" s="48"/>
      <x:c r="G2" s="48"/>
      <x:c r="H2" s="48"/>
      <x:c r="I2" s="48"/>
    </x:row>
    <x:row r="4" ht="24" customHeight="1">
      <x:c r="A4" s="53" t="str">
        <x:v>ID</x:v>
      </x:c>
      <x:c r="B4" s="53" t="str">
        <x:v>Gate</x:v>
      </x:c>
      <x:c r="C4" s="53" t="str">
        <x:v>Core Question</x:v>
      </x:c>
      <x:c r="D4" s="53" t="str">
        <x:v>Status</x:v>
      </x:c>
      <x:c r="E4" s="53" t="str">
        <x:v>Deliverable</x:v>
      </x:c>
      <x:c r="F4" s="53" t="str">
        <x:v>Acceptance Boundary</x:v>
      </x:c>
      <x:c r="G4" s="53" t="str">
        <x:v>Depends On</x:v>
      </x:c>
      <x:c r="H4" s="53" t="str">
        <x:v>Proof Posture</x:v>
      </x:c>
      <x:c r="I4" s="53" t="str">
        <x:v>Evidence</x:v>
      </x:c>
    </x:row>
    <x:row r="5" ht="61.5" customHeight="1">
      <x:c r="A5" s="57" t="str">
        <x:v>RW0</x:v>
      </x:c>
      <x:c r="B5" s="57" t="str">
        <x:v>Dataset/device research</x:v>
      </x:c>
      <x:c r="C5" s="57" t="str">
        <x:v>Which cohorts, devices, formats, and transports are credible?</x:v>
      </x:c>
      <x:c r="D5" s="65" t="str">
        <x:v>Done</x:v>
      </x:c>
      <x:c r="E5" s="57" t="str">
        <x:v>Versioned registries, primary-source research, BYO spec, exact fresh-data packet.</x:v>
      </x:c>
      <x:c r="F5" s="57" t="str">
        <x:v>8 datasets, 13 devices, zero signal/consumed/model/target/download access.</x:v>
      </x:c>
      <x:c r="G5" s="57" t="str">
        <x:v>None</x:v>
      </x:c>
      <x:c r="H5" s="57" t="str">
        <x:v>Metadata-only research</x:v>
      </x:c>
      <x:c r="I5" s="57" t="str">
        <x:v>docs/REAL_WORLD_PRACTICE_TRACK_RESEARCH.md</x:v>
      </x:c>
    </x:row>
    <x:row r="6" ht="69" customHeight="1">
      <x:c r="A6" s="61" t="str">
        <x:v>RW1</x:v>
      </x:c>
      <x:c r="B6" s="61" t="str">
        <x:v>Local metadata intake</x:v>
      </x:c>
      <x:c r="C6" s="61" t="str">
        <x:v>Can a user identify a local recording without reading signal arrays?</x:v>
      </x:c>
      <x:c r="D6" s="70" t="str">
        <x:v>Done</x:v>
      </x:c>
      <x:c r="E6" s="61" t="str">
        <x:v>Dependency-free level-0 scanner, CLI, deterministic JSON/Markdown.</x:v>
      </x:c>
      <x:c r="F6" s="61" t="str">
        <x:v>Closed: 11 focused tests; 532-byte fixture; 11,545 output bytes; zero signal/target/model/network access.</x:v>
      </x:c>
      <x:c r="G6" s="61" t="str">
        <x:v>RW0</x:v>
      </x:c>
      <x:c r="H6" s="61" t="str">
        <x:v>No signal or decoding claim</x:v>
      </x:c>
      <x:c r="I6" s="61" t="str">
        <x:v>docs/RW1_METADATA_ONLY_LOCAL_INTAKE.md</x:v>
      </x:c>
    </x:row>
    <x:row r="7" ht="81" customHeight="1">
      <x:c r="A7" s="57" t="str">
        <x:v>RW2</x:v>
      </x:c>
      <x:c r="B7" s="57" t="str">
        <x:v>Signal-quality contract</x:v>
      </x:c>
      <x:c r="C7" s="57" t="str">
        <x:v>Can optional readers validate bounded signals, timing, events, and quality?</x:v>
      </x:c>
      <x:c r="D7" s="73" t="str">
        <x:v>Done</x:v>
      </x:c>
      <x:c r="E7" s="57" t="str">
        <x:v>Direct optional MNE adapters, deterministic quality JSON/Markdown/audit, strict load/validation, and 40 target-free fixtures.</x:v>
      </x:c>
      <x:c r="F7" s="57" t="str">
        <x:v>Closed: 38 readable fixtures pass; 2 refusals match; 9 focused tests; 76,592-byte FIF report; zero real/cache/target/model/training/network access.</x:v>
      </x:c>
      <x:c r="G7" s="57" t="str">
        <x:v>RW1 + eacb231</x:v>
      </x:c>
      <x:c r="H7" s="57" t="str">
        <x:v>Synthetic compatibility level 2 only</x:v>
      </x:c>
      <x:c r="I7" s="57" t="str">
        <x:v>docs/RW2_SIGNAL_QUALITY_CLOSEOUT.md</x:v>
      </x:c>
    </x:row>
    <x:row r="8" ht="126" customHeight="1">
      <x:c r="A8" s="61" t="str">
        <x:v>RW3</x:v>
      </x:c>
      <x:c r="B8" s="61" t="str">
        <x:v>Replay/live equivalence</x:v>
      </x:c>
      <x:c r="C8" s="61" t="str">
        <x:v>Can offline replay use the exact future live-source chunk contract?</x:v>
      </x:c>
      <x:c r="D8" s="77" t="str">
        <x:v>Review</x:v>
      </x:c>
      <x:c r="E8" s="61" t="str">
        <x:v>Frozen contract plus a hash-bound Stage A decision packet: five schedules x 18 future target-free fixtures = 90 cases, all 30 refusal IDs, exact one-thread caps, and an authorization-only commit sequence.</x:v>
      </x:c>
      <x:c r="F8" s="61" t="str">
        <x:v>10 contract/request invariants pass; authorized_now is false; zero source chunks, fixtures, CLI additions, optional imports, sockets, streams, boards, XDF/data/target/model/training access.</x:v>
      </x:c>
      <x:c r="G8" s="61" t="str">
        <x:v>RW2 + c3d1f01 + 163ff2f</x:v>
      </x:c>
      <x:c r="H8" s="61" t="str">
        <x:v>Decision packet only; Stage A unapproved</x:v>
      </x:c>
      <x:c r="I8" s="61" t="str">
        <x:v>docs/RW3_STAGE_A_AUTHORIZATION_PACKET.md</x:v>
      </x:c>
    </x:row>
    <x:row r="9" ht="61.5" customHeight="1">
      <x:c r="A9" s="57" t="str">
        <x:v>RW4</x:v>
      </x:c>
      <x:c r="B9" s="57" t="str">
        <x:v>Fresh public EEG benchmark</x:v>
      </x:c>
      <x:c r="C9" s="57" t="str">
        <x:v>Does one fresh typing block beat prior and shuffle controls?</x:v>
      </x:c>
      <x:c r="D9" s="69" t="str">
        <x:v>Blocked</x:v>
      </x:c>
      <x:c r="E9" s="57" t="str">
        <x:v>One-time S20 event-level aggregate report.</x:v>
      </x:c>
      <x:c r="F9" s="57" t="str">
        <x:v>Explicit approval; exactly 4 files/96,090,264 bytes; no CER/WER.</x:v>
      </x:c>
      <x:c r="G9" s="57" t="str">
        <x:v>User approval + RW2</x:v>
      </x:c>
      <x:c r="H9" s="57" t="str">
        <x:v>Within-recording event evidence at most</x:v>
      </x:c>
      <x:c r="I9" s="57" t="str">
        <x:v>docs/FRESH_EEG_BENCHMARK_S20_APPROVAL_PACKET.md</x:v>
      </x:c>
    </x:row>
    <x:row r="10" ht="61.5" customHeight="1">
      <x:c r="A10" s="61" t="str">
        <x:v>RW5</x:v>
      </x:c>
      <x:c r="B10" s="61" t="str">
        <x:v>Board-neutral acquisition</x:v>
      </x:c>
      <x:c r="C10" s="61" t="str">
        <x:v>Can one BrainFlow or LSL EEG board pass replay and privacy gates?</x:v>
      </x:c>
      <x:c r="D10" s="68" t="str">
        <x:v>Not Started</x:v>
      </x:c>
      <x:c r="E10" s="61" t="str">
        <x:v>One device descriptor and recorded/live comparison.</x:v>
      </x:c>
      <x:c r="F10" s="61" t="str">
        <x:v>Measured raw API, timing, packet loss, consent, and locality.</x:v>
      </x:c>
      <x:c r="G10" s="61" t="str">
        <x:v>RW3</x:v>
      </x:c>
      <x:c r="H10" s="61" t="str">
        <x:v>No portable decoder claim</x:v>
      </x:c>
      <x:c r="I10" s="61" t="str">
        <x:v>registries/devices.v0.json</x:v>
      </x:c>
    </x:row>
    <x:row r="11" ht="61.5" customHeight="1">
      <x:c r="A11" s="57" t="str">
        <x:v>RW6</x:v>
      </x:c>
      <x:c r="B11" s="57" t="str">
        <x:v>Prompted-typing EEG protocol</x:v>
      </x:c>
      <x:c r="C11" s="57" t="str">
        <x:v>Can task-matched local EEG be collected with synchronized prompts/keys?</x:v>
      </x:c>
      <x:c r="D11" s="67" t="str">
        <x:v>Not Started</x:v>
      </x:c>
      <x:c r="E11" s="57" t="str">
        <x:v>Consent, retention, trigger, calibration, and split protocol.</x:v>
      </x:c>
      <x:c r="F11" s="57" t="str">
        <x:v>No collection before ethics, consent, and exact preregistration.</x:v>
      </x:c>
      <x:c r="G11" s="57" t="str">
        <x:v>RW5</x:v>
      </x:c>
      <x:c r="H11" s="57" t="str">
        <x:v>Acquisition protocol only</x:v>
      </x:c>
      <x:c r="I11" s="57" t="str">
        <x:v>docs/POST_20_ROADMAP.md</x:v>
      </x:c>
    </x:row>
    <x:row r="12" ht="61.5" customHeight="1">
      <x:c r="A12" s="61" t="str">
        <x:v>RW7</x:v>
      </x:c>
      <x:c r="B12" s="61" t="str">
        <x:v>Multimodal ablations</x:v>
      </x:c>
      <x:c r="C12" s="61" t="str">
        <x:v>What comes from EEG versus eye, EOG, EMG, heart, motion, or audio?</x:v>
      </x:c>
      <x:c r="D12" s="68" t="str">
        <x:v>Not Started</x:v>
      </x:c>
      <x:c r="E12" s="61" t="str">
        <x:v>Brain-only, peripheral-only, and combined reports.</x:v>
      </x:c>
      <x:c r="F12" s="61" t="str">
        <x:v>Peripheral contribution never credited to EEG; controls mandatory.</x:v>
      </x:c>
      <x:c r="G12" s="61" t="str">
        <x:v>RW5-RW6</x:v>
      </x:c>
      <x:c r="H12" s="61" t="str">
        <x:v>Cohort-specific attribution</x:v>
      </x:c>
      <x:c r="I12" s="61" t="str">
        <x:v>registries/devices.v0.json</x:v>
      </x:c>
    </x:row>
    <x:row r="13" ht="61.5" customHeight="1">
      <x:c r="A13" s="57" t="str">
        <x:v>RW8</x:v>
      </x:c>
      <x:c r="B13" s="57" t="str">
        <x:v>Local BYO workbench</x:v>
      </x:c>
      <x:c r="C13" s="57" t="str">
        <x:v>Can users inspect, replay, qualify, and report without cloud upload?</x:v>
      </x:c>
      <x:c r="D13" s="67" t="str">
        <x:v>Not Started</x:v>
      </x:c>
      <x:c r="E13" s="57" t="str">
        <x:v>Operational local interface with compatibility levels 0-6.</x:v>
      </x:c>
      <x:c r="F13" s="57" t="str">
        <x:v>Unknown input remains inspectable but non-decodable.</x:v>
      </x:c>
      <x:c r="G13" s="57" t="str">
        <x:v>RW1-RW7</x:v>
      </x:c>
      <x:c r="H13" s="57" t="str">
        <x:v>Product capability only</x:v>
      </x:c>
      <x:c r="I13" s="57" t="str">
        <x:v>docs/BYO_NEURODATA_WORKBENCH_SPEC.md</x:v>
      </x:c>
    </x:row>
    <x:row r="14" ht="61.5" customHeight="1">
      <x:c r="A14" s="61" t="str">
        <x:v>RW9</x:v>
      </x:c>
      <x:c r="B14" s="61" t="str">
        <x:v>Phone/wearable deployment</x:v>
      </x:c>
      <x:c r="C14" s="61" t="str">
        <x:v>Which validated capabilities fit a mobile or wearable envelope?</x:v>
      </x:c>
      <x:c r="D14" s="68" t="str">
        <x:v>Not Started</x:v>
      </x:c>
      <x:c r="E14" s="61" t="str">
        <x:v>Measured offline packaging, battery, latency, and privacy gate.</x:v>
      </x:c>
      <x:c r="F14" s="61" t="str">
        <x:v>Requires a qualified device/task/model first.</x:v>
      </x:c>
      <x:c r="G14" s="61" t="str">
        <x:v>RW5-RW8</x:v>
      </x:c>
      <x:c r="H14" s="61" t="str">
        <x:v>No clinical or arbitrary-thought claim</x:v>
      </x:c>
      <x:c r="I14" s="61" t="str">
        <x:v>docs/POST_20_ROADMAP.md</x:v>
      </x:c>
    </x:row>
  </x:sheetData>
  <x:mergeCells>
    <x:mergeCell ref="A1:I1"/>
    <x:mergeCell ref="A2:I2"/>
  </x:mergeCells>
  <x:dataValidations count="1">
    <x:dataValidation type="list" sqref="D5:D14">
      <x:formula1>"Done,Active,Blocked,Not Started,Parked"</x:formula1>
    </x:dataValidation>
  </x:dataValidations>
  <x:pageMargins left="0.7" right="0.7" top="0.75" bottom="0.75" header="0.3" footer="0.3"/>
  <x:tableParts count="1">
    <x:tablePart xmlns:r="http://schemas.openxmlformats.org/officeDocument/2006/relationships" r:id="Rd1c649bbc6dc45f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7" hidden="0" customWidth="1"/>
    <x:col min="2" max="2" width="24" hidden="0" customWidth="1"/>
    <x:col min="3" max="3" width="32" hidden="0" customWidth="1"/>
    <x:col min="4" max="4" width="13" hidden="0" customWidth="1"/>
    <x:col min="5" max="5" width="42" hidden="0" customWidth="1"/>
    <x:col min="6" max="6" width="42" hidden="0" customWidth="1"/>
    <x:col min="7" max="7" width="52" hidden="0" customWidth="1"/>
    <x:col min="8" max="8" width="56" hidden="0" customWidth="1"/>
    <x:col min="9" max="9" width="38" hidden="0" customWidth="1"/>
    <x:col min="10" max="10" width="54" hidden="0" customWidth="1"/>
    <x:col min="11" max="11" width="31" hidden="0" customWidth="1"/>
    <x:col min="12" max="12" width="46" hidden="0" customWidth="1"/>
    <x:col min="13" max="13" width="38" hidden="0" customWidth="1"/>
    <x:col min="14" max="14" width="23" hidden="0" customWidth="1"/>
    <x:col min="15" max="15" width="15" hidden="0" customWidth="1"/>
    <x:col min="16" max="16" width="46" hidden="0" customWidth="1"/>
  </x:cols>
  <x:sheetData>
    <x:row r="1" ht="34" customHeight="1">
      <x:c r="A1" s="81" t="str">
        <x:v>NeuroDecodeKit Evidence Roadmap: Loops 25-44</x:v>
      </x:c>
      <x:c r="B1" s="81"/>
      <x:c r="C1" s="81"/>
      <x:c r="D1" s="81"/>
      <x:c r="E1" s="81"/>
      <x:c r="F1" s="81"/>
      <x:c r="G1" s="81"/>
      <x:c r="H1" s="81"/>
      <x:c r="I1" s="81"/>
      <x:c r="J1" s="81"/>
      <x:c r="K1" s="81"/>
      <x:c r="L1" s="81"/>
      <x:c r="M1" s="81"/>
      <x:c r="N1" s="81"/>
      <x:c r="O1" s="81"/>
      <x:c r="P1" s="81"/>
    </x:row>
    <x:row r="2" ht="61.5" customHeight="1">
      <x:c r="A2" s="86" t="str">
        <x:v>Loop 25 / scientific Loop 45 mechanics passed once. Loop 26/31/33 shared validation is consumed and parked: candidate macro CER 0.938177 versus prior 0.751235 after remote-green freeze 54bdca9; no rerun.</x:v>
      </x:c>
      <x:c r="B2" s="86"/>
      <x:c r="C2" s="86"/>
      <x:c r="D2" s="86"/>
      <x:c r="E2" s="86"/>
      <x:c r="F2" s="86"/>
      <x:c r="G2" s="86"/>
      <x:c r="H2" s="86"/>
      <x:c r="I2" s="86"/>
      <x:c r="J2" s="86"/>
      <x:c r="K2" s="86"/>
      <x:c r="L2" s="86"/>
      <x:c r="M2" s="86"/>
      <x:c r="N2" s="86"/>
      <x:c r="O2" s="86"/>
      <x:c r="P2" s="86"/>
    </x:row>
    <x:row r="3" ht="31.5" customHeight="1">
      <x:c r="A3" s="98" t="str">
        <x:v>20 loops | Loop 25 complete once | Loops 26/31/33 parked after registered negative result | Loop 48 Stage A exact request prepared; H1-H5 Stage B design-only | Loop 44 artifact review complete | Every current execution_authorized flag remains false</x:v>
      </x:c>
      <x:c r="B3" s="99"/>
      <x:c r="C3" s="99"/>
      <x:c r="D3" s="99"/>
      <x:c r="E3" s="99"/>
      <x:c r="F3" s="99"/>
      <x:c r="G3" s="99"/>
      <x:c r="H3" s="99"/>
      <x:c r="I3" s="99"/>
      <x:c r="J3" s="99"/>
      <x:c r="K3" s="99"/>
      <x:c r="L3" s="99"/>
      <x:c r="M3" s="99"/>
      <x:c r="N3" s="99"/>
      <x:c r="O3" s="99"/>
      <x:c r="P3" s="100"/>
    </x:row>
    <x:row r="4" ht="44" customHeight="1">
      <x:c r="A4" s="105" t="str">
        <x:v>Loop</x:v>
      </x:c>
      <x:c r="B4" s="105" t="str">
        <x:v>Phase</x:v>
      </x:c>
      <x:c r="C4" s="105" t="str">
        <x:v>Gate</x:v>
      </x:c>
      <x:c r="D4" s="105" t="str">
        <x:v>Priority / Effort</x:v>
      </x:c>
      <x:c r="E4" s="105" t="str">
        <x:v>Core question</x:v>
      </x:c>
      <x:c r="F4" s="105" t="str">
        <x:v>Why high value</x:v>
      </x:c>
      <x:c r="G4" s="105" t="str">
        <x:v>Build + research deliverables</x:v>
      </x:c>
      <x:c r="H4" s="105" t="str">
        <x:v>Data scope + controls</x:v>
      </x:c>
      <x:c r="I4" s="105" t="str">
        <x:v>Primary metrics</x:v>
      </x:c>
      <x:c r="J4" s="105" t="str">
        <x:v>Acceptance + stop rule</x:v>
      </x:c>
      <x:c r="K4" s="105" t="str">
        <x:v>Dependencies</x:v>
      </x:c>
      <x:c r="L4" s="105" t="str">
        <x:v>Authorization boundary</x:v>
      </x:c>
      <x:c r="M4" s="105" t="str">
        <x:v>Resource cap</x:v>
      </x:c>
      <x:c r="N4" s="105" t="str">
        <x:v>Proof posture</x:v>
      </x:c>
      <x:c r="O4" s="105" t="str">
        <x:v>Status</x:v>
      </x:c>
      <x:c r="P4" s="105" t="str">
        <x:v>Primary source URLs</x:v>
      </x:c>
    </x:row>
    <x:row r="5" ht="180" customHeight="1">
      <x:c r="A5" s="125" t="n">
        <x:v>25</x:v>
      </x:c>
      <x:c r="B5" s="128" t="str">
        <x:v>P1 - Causal Evidence</x:v>
      </x:c>
      <x:c r="C5" s="113" t="str">
        <x:v>Causal Preprocessing Audit</x:v>
      </x:c>
      <x:c r="D5" s="134" t="str">
        <x:v>P0 / M</x:v>
      </x:c>
      <x:c r="E5" s="113" t="str">
        <x:v>Can every transform before the causal encoder run incrementally without future samples, evaluation-fit statistics, timestamp drift, or chunk-boundary changes?</x:v>
      </x:c>
      <x:c r="F5" s="113" t="str">
        <x:v>A causal model is not causal if filtering, resampling, padding, or normalization leaks future context; this gate protects every later streaming claim.</x:v>
      </x:c>
      <x:c r="G5" s="113" t="str">
        <x:v>Built: Versioned stateful 1000-to-100 Hz preprocessing with dedicated causal anti-alias SOS, phase-locked decimation, frozen normalization, exact snapshots, deterministic resume, fail-closed validation, four CLI commands, and audit-hashed reports.
Result: Static, development, and conditional qualification gates passed once.</x:v>
      </x:c>
      <x:c r="H5" s="113" t="str">
        <x:v>Data: 24 target-free synthetic items from physically separate seeds 2501 and 2502; no S21, S7, S20, or S25 payload.
Controls passed:
- 65,537-point response grid and 23 alias probes before partition access
- 7 schedules per item
- 10 resume cuts per item
- 3 future-mutation cuts per item
- metadata inspection opened zero signal arrays
- all protected and forbidden counters were zero</x:v>
      </x:c>
      <x:c r="I5" s="113" t="str">
        <x:v>- 24/24 items passed
- 168/168 schedule checks
- 240/240 resume checks
- 72/72 future-mutation controls
- folding-band maximum -67.503786 dB
- zero right-context samples
- 1,971,744 input bytes; 212,328 output bytes
- 5.542175 sec static + complete internal
- 136,806,400-byte maximum RSS</x:v>
      </x:c>
      <x:c r="J5" s="113" t="str">
        <x:v>Passed once: the static filter gate preceded every partition open; development passed and froze before qualification opened; every replay, timestamp, padding, access, and resource gate passed.
No rerun, post-result tuning, tolerance widening, seed reuse, or protected access is authorized.</x:v>
      </x:c>
      <x:c r="K5" s="113" t="str">
        <x:v>Loops: none
External: satisfied by green authorization commit 1e7296a and green implementation commit 439f151</x:v>
      </x:c>
      <x:c r="L5" s="113" t="str">
        <x:v>Completed once after a separate hash-bound authorization and green CI. Current execution authorization is false because no rerun is open. Real/consumed data, targets, models, training, RW3, streams, devices, and hardware were not used and remain separately gated. Loop 26 requires a new preregistration and authorization.</x:v>
      </x:c>
      <x:c r="M5" s="113" t="str">
        <x:v>Measured: one thread, one worker, 788,967 total generated bytes, 985,872-byte maximum partition array, 720-byte state, 5.542175 sec static + complete internal, 136,806,400-byte maximum RSS. All frozen 8 MiB / 16 MiB / 45 sec per-gate / 1 GiB caps passed.</x:v>
      </x:c>
      <x:c r="N5" s="218" t="str">
        <x:v>target_free_synthetic_causal_preprocessing_mechanics_passed</x:v>
      </x:c>
      <x:c r="O5" s="220" t="str">
        <x:v>Complete</x:v>
      </x:c>
      <x:c r="P5" s="149" t="str">
        <x:v>https://facebookresearch.github.io/brain2qwerty/assets/brain2qwerty_v2.pdf
https://github.com/facebookresearch/neuroai/blob/v0.2.2/neuralset-repo/neuralset/extractors/neuro.py#L334-L381
https://mne.tools/stable/generated/mne.filter.resample.html
https://docs.scipy.org/doc/scipy-1.14.1/reference/generated/scipy.signal.iirdesign.html</x:v>
      </x:c>
    </x:row>
    <x:row r="6" ht="210" customHeight="1">
      <x:c r="A6" s="126" t="n">
        <x:v>26</x:v>
      </x:c>
      <x:c r="B6" s="129" t="str">
        <x:v>P1 - Causal Evidence</x:v>
      </x:c>
      <x:c r="C6" s="114" t="str">
        <x:v>Real Validation-Only Encoder Gate</x:v>
      </x:c>
      <x:c r="D6" s="135" t="str">
        <x:v>P0 / L</x:v>
      </x:c>
      <x:c r="E6" s="114" t="str">
        <x:v>Does one fixed, small causal encoder show neural information above no-signal and shuffled controls on source validation without touching any test set?</x:v>
      </x:c>
      <x:c r="F6" s="114" t="str">
        <x:v>The project has strong mechanics but no real neural advantage; this is the first gate that can justify continuing the predictive branch.</x:v>
      </x:c>
      <x:c r="G6" s="114" t="str">
        <x:v>Built and executed: bounded row streaming, isolated 55-train/6-validation derivatives, 2,908-parameter candidate, 2,884-parameter comparator, 21 fits, 24 target-blind inferences, 6 priors, 31 frozen prediction sets, remote-green target firewall, and one score.
Result: candidate macro CER 0.938177; prior 0.751235; margin -0.186942; primary gate failed.
Evidence: docs/LOOP_26_SHARED_VALIDATION_RESULT.md</x:v>
      </x:c>
      <x:c r="H6" s="114" t="str">
        <x:v>Consumed S21 session-1 shared event only: 55 train signals/targets, 6 validation signals, then the same 6 validation targets after green freeze. Five source-test rows and session 2 stayed closed. No raw FIF/MAT, download, language model, RW3, stream, device, or hardware operation.</x:v>
      </x:c>
      <x:c r="I6" s="114" t="str">
        <x:v>- candidate/prior macro CER 0.938177 / 0.751235
- corpus CER 0.938547 / 0.748603
- WER 0.966667 / 0.833333
- 0 wins, 1 tie, 5 losses; one-sided p=1.0
- blank fraction 0.993477
- 21 fits; 5,040 steps; 24 inferences; 31 frozen sets
- 184.046922 sec target-blind end to end
- 532,955,136-byte maximum measured RSS
- 10,148,673 generated bytes</x:v>
      </x:c>
      <x:c r="J6" s="114" t="str">
        <x:v>Failed and parked: candidate was 0.186942 worse than the train-only prior, not &gt;=0.05 better. The complete attribution and scaling conjunctions also failed. No restart, retuning, larger model, source-test/session-2/S25 open, or rerun is authorized.</x:v>
      </x:c>
      <x:c r="K6" s="114" t="str">
        <x:v>Loops 25, 31, 33 and scientific 45-47.
Next: Loop 48 artifact-first failure localization, separately authorized.</x:v>
      </x:c>
      <x:c r="L6" s="114" t="str">
        <x:v>Authorized once at 1c0e52c. Implementation 91409bd and ledger correction 4015677 were remotely green. Prediction-freeze 54bdca9 was remotely green before one target delivery and score. Event consumed; no rerun or post-target tuning.</x:v>
      </x:c>
      <x:c r="M6" s="114" t="str">
        <x:v>Measured: 1 thread/worker; 2,908/2,884 parameters; 184.046922 sec target-blind end to end; 0.017592 sec score; 532,955,136-byte maximum RSS; 10,148,673 generated bytes. All 20 min / 1 GiB / 32 MiB caps passed.</x:v>
      </x:c>
      <x:c r="N6" s="141" t="str">
        <x:v>consumed_same_person_same_session_validation; primary_gate_failed; no_rerun; upstream_cache_noncausal; source_test_session2_closed</x:v>
      </x:c>
      <x:c r="O6" s="222" t="str">
        <x:v>Parked; Registered Gate Failed</x:v>
      </x:c>
      <x:c r="P6" s="150" t="str">
        <x:v>https://www.nature.com/articles/s41593-026-02303-2.pdf
https://facebookresearch.github.io/brain2qwerty/assets/brain2qwerty_v2.pdf
https://github.com/facebookresearch/brain2qwerty/tree/main/brain2qwerty_v2
https://docs.scipy.org/doc/scipy/reference/generated/scipy.stats.permutation_test.html
https://docs.scipy.org/doc/scipy/reference/generated/scipy.stats.bootstrap.html
https://jmlr.org/beta/papers/v11/ojala10a.html
https://pubmed.ncbi.nlm.nih.gov/28655633/
https://onlinelibrary.wiley.com/doi/10.1111/jtsa.12638</x:v>
      </x:c>
    </x:row>
    <x:row r="7" ht="225" customHeight="1">
      <x:c r="A7" s="126" t="n">
        <x:v>27</x:v>
      </x:c>
      <x:c r="B7" s="129" t="str">
        <x:v>P1 - Causal Evidence</x:v>
      </x:c>
      <x:c r="C7" s="114" t="str">
        <x:v>Fresh Holdout Preregistration</x:v>
      </x:c>
      <x:c r="D7" s="135" t="str">
        <x:v>P0 / M</x:v>
      </x:c>
      <x:c r="E7" s="114" t="str">
        <x:v>Which independent participant, session, or task-matched recording can answer the next claim without recycling S21 session-2 or S7 evidence?</x:v>
      </x:c>
      <x:c r="F7" s="114" t="str">
        <x:v>A fresh, hash-bound test is more valuable than another tuned result on already observed data.</x:v>
      </x:c>
      <x:c r="G7" s="114" t="str">
        <x:v>Build: Metadata-only candidate registry, license and byte ledger, exact file plan, split protocol, target-isolation plan, and one-time analysis contract.
Research: Completed metadata-only selection of S25 session 2 block 2 as a 1,009,939,983-byte MEG candidate, with exact payload identities, official exclusions, unavailable fields, and preregistration blockers.
Packet: docs/LOOP_27_PRIMARY_SOURCE_RESEARCH.md</x:v>
      </x:c>
      <x:c r="H7" s="114" t="str">
        <x:v>Data: Metadata and public documentation only; no download, signal read, target read, or remote row preview.
Controls:
- Independent identity and sentence-membership audit.
- Exact no-signal and shuffle comparators frozen before acquisition.
- One-time test access sequence with physical or cryptographic partition separation.</x:v>
      </x:c>
      <x:c r="I7" s="114" t="str">
        <x:v>- planned files and bytes
- subjects, sessions, trials, and unique sentence groups
- license and redistribution status
- identity-overlap and task-match warnings
- authorized and unavailable access counters</x:v>
      </x:c>
      <x:c r="J7" s="114" t="str">
        <x:v>Acceptance: Approve a future acquisition packet only if independence, task match, licensing, exact byte cap, split power, and one-time decision rule are explicit; otherwise record no eligible holdout.
Stop: Hold acquisition if identity, license, task, timing, or byte provenance is ambiguous; never substitute a convenient consumed cohort.</x:v>
      </x:c>
      <x:c r="K7" s="114" t="str">
        <x:v>Loops: none for metadata research
External: none for metadata research</x:v>
      </x:c>
      <x:c r="L7" s="114" t="str">
        <x:v>Planning research selected S25 metadata only. No preregistration or authorization request exists; download, local log hashing, header/signal/MAT/target access, model/training/final opening, backup substitution, and Loop 28 remain unauthorized.</x:v>
      </x:c>
      <x:c r="M7" s="114" t="str">
        <x:v>Zero downloaded bytes, zero signal reads, one thread, one worker, 8 MiB planning artifacts, and 10 minutes local metadata processing.</x:v>
      </x:c>
      <x:c r="N7" s="141" t="str">
        <x:v>planned_not_authorized; planning_research_complete; candidate=spanishbcbl-meg-s25-session2-block2-v0</x:v>
      </x:c>
      <x:c r="O7" s="147" t="str">
        <x:v>Not Started</x:v>
      </x:c>
      <x:c r="P7" s="150" t="str">
        <x:v>https://www.nature.com/articles/s41593-026-02303-2.pdf
https://facebookresearch.github.io/brain2qwerty/assets/brain2qwerty_v2.pdf
https://arxiv.org/abs/1803.09010</x:v>
      </x:c>
    </x:row>
    <x:row r="8" ht="138" customHeight="1">
      <x:c r="A8" s="126" t="n">
        <x:v>28</x:v>
      </x:c>
      <x:c r="B8" s="129" t="str">
        <x:v>P1 - Causal Evidence</x:v>
      </x:c>
      <x:c r="C8" s="114" t="str">
        <x:v>Session And Person Transfer</x:v>
      </x:c>
      <x:c r="D8" s="135" t="str">
        <x:v>P0 / L</x:v>
      </x:c>
      <x:c r="E8" s="114" t="str">
        <x:v>Does the frozen causal system transfer to one genuinely unseen canonical person without fitting anything to that person?</x:v>
      </x:c>
      <x:c r="F8" s="114" t="str">
        <x:v>The existing same-person cross-session result is negative, and Brain2Qwerty v2 target-participant finetuning is calibrated rather than strict zero-shot; a fresh one-time T2 test is required before any person-transfer claim can move.</x:v>
      </x:c>
      <x:c r="G8" s="114" t="str">
        <x:v>Build: Future frozen source-model one-time holdout runner with a source-train-only prior, corruption controls, hash-frozen predictions, and a claim-specific report card. Calibrated adaptation stays physically separate.
Research: Completed T0-T3 taxonomy, strict zero-shot versus transductive boundary, and one-time S25 final-only rule.
Packet: docs/LOOP_28_PRIMARY_SOURCE_RESEARCH.md</x:v>
      </x:c>
      <x:c r="H8" s="114" t="str">
        <x:v>Data: Planning research only. A future T2 test may use only a separately acquired and authorized Loop 27 S25 final-only holdout. S25 contributes zero train, validation, calibration, target-wide normalization, subject-embedding, adapter, threshold, or unlabeled-corpus-fit rows.
Controls:
- Source-train-only no-signal prior.
- Same checkpoint with exact-zero S25 signal.
- Frozen channel-name-hash derangement.
- Frozen nonwrapping zero-filled time displacement.
- Identity and sentence-overlap audit without plaintext or row cherry-picking.</x:v>
      </x:c>
      <x:c r="I8" s="114" t="str">
        <x:v>- macro sentence-CER prior-minus-model effect with a 0.05 practical floor
- one-sided paired p-value from 65,535 frozen assignments plus observed
- corpus CER, WER where justified, exact sequence accuracy, wins/ties/losses
- strict candidate-versus-corruption controls
- identity, overlap, runtime, RSS, bytes, and access counters</x:v>
      </x:c>
      <x:c r="J8" s="114" t="str">
        <x:v>Acceptance: Support T2 only for this one S25 person/session/task when at least 48 unique final rows remain, macro CER improves by at least 0.05 over the frozen prior, paired p is at most 0.05, every corruption control is strictly worse, and all identity, hash, access, and resource gates pass.
Stop: Any missing field, tie, threshold miss, control failure, access violation, or cap failure parks T2. Do not tune, calibrate, restart, substitute a backup, or relabel calibrated/transductive performance as zero-shot.</x:v>
      </x:c>
      <x:c r="K8" s="114" t="str">
        <x:v>Loops: 25, 26, 27
External: approved_fresh_holdout_packet, separate_one_time_test_authorization</x:v>
      </x:c>
      <x:c r="L8" s="114" t="str">
        <x:v>Planning research only. No preregistration or authorization sentence exists; acquisition, local MAT hashing, header/signal/target access, model/control prediction, calibration, final opening, language model, backup, and device work remain unauthorized.</x:v>
      </x:c>
      <x:c r="M8" s="114" t="str">
        <x:v>Current research: zero payload bytes, one thread/worker, 8 MiB planning-artifact cap. Future T2: frozen Loop 26 checkpoint only, zero target-person updates and language-model runs, one thread/worker, 32 MiB output cap, 1 GiB RSS; runtime cap awaits measured Loop 26 evidence.</x:v>
      </x:c>
      <x:c r="N8" s="141" t="str">
        <x:v>planned_not_authorized; planning_research_complete; selected_claim=T2_strict_zero_shot; candidate=spanishbcbl-meg-s25-session2-block2-v0</x:v>
      </x:c>
      <x:c r="O8" s="147" t="str">
        <x:v>Not Started</x:v>
      </x:c>
      <x:c r="P8" s="150" t="str">
        <x:v>https://facebookresearch.github.io/brain2qwerty/assets/brain2qwerty_v2.pdf
https://github.com/facebookresearch/brain2qwerty/tree/3bf5a4099ca0d23bbe994b2287905760236e56e0/brain2qwerty_v2
https://arxiv.org/abs/1404.4175
https://arxiv.org/abs/1805.06427
https://pubmed.ncbi.nlm.nih.gov/27989847/
https://www.jmlr.org/papers/v11/ojala10a.html</x:v>
      </x:c>
    </x:row>
    <x:row r="9" ht="168" customHeight="1">
      <x:c r="A9" s="126" t="n">
        <x:v>29</x:v>
      </x:c>
      <x:c r="B9" s="129" t="str">
        <x:v>P2 - Translation And Generalization</x:v>
      </x:c>
      <x:c r="C9" s="114" t="str">
        <x:v>Portable Sensing Translation</x:v>
      </x:c>
      <x:c r="D9" s="135" t="str">
        <x:v>P1 / M</x:v>
      </x:c>
      <x:c r="E9" s="114" t="str">
        <x:v>Which Brain2Qwerty requirements survive translation from cryogenic MEG to OPM-MEG or scalp EEG, which assumptions break, and what is the smallest honest real-data path toward an at-home result?</x:v>
      </x:c>
      <x:c r="F9" s="114" t="str">
        <x:v>Accessible sensing is the product direction, but channel-count ablation, vendor specifications, and home recording mechanics are not device qualification or text decoding.</x:v>
      </x:c>
      <x:c r="G9" s="114" t="str">
        <x:v>Build: Future device-specific implementation of the versioned 15-field modality matrix, six-level qualification ladder, and fail-closed packet validator; no runtime exists now.
Research: Completed primary-source OPM-MEG and EEG review, two-lane decision, storage envelope, and exact S20/S25 result-oriented path.
Packet: docs/LOOP_29_PRIMARY_SOURCE_RESEARCH.md</x:v>
      </x:c>
      <x:c r="H9" s="114" t="str">
        <x:v>Data: Public specifications and aggregate evidence only; zero downloads. A future first real-data result may use only the separately approved 96,090,264-byte S20 packet; S25 remains final-only at 1,009,939,983 bytes.
Controls:
- Separate cryogenic MEG, OPM-MEG, scalp EEG, and non-neural profiles.
- Distinguish measured values, official specifications, inferences, and unavailable fields.
- Exclude cryogenic random channel subsets as OPM-MEG or EEG evidence.
- Keep S20, S25, and any future device recording as separate cohorts and decisions.</x:v>
      </x:c>
      <x:c r="I9" s="114" t="str">
        <x:v>- requirement coverage and unavailable-field count
- units, reference, geometry, filters, rate, clocks, packets, and privacy provenance
- measured versus specified versus unavailable status
- minimum future qualification level
- preferred and absolute storage margin after exact bundles
- protected access and authorization counters</x:v>
      </x:c>
      <x:c r="J9" s="114" t="str">
        <x:v>Acceptance: Proceed to a device-specific packet only when one exact configuration has measurable task, units, filters, reference, geometry, clocks, packets, locality, privacy, repeated-session, peripheral-control, license, and resource requirements.
Stop: Do not call a simulated subset, vendor specification, file read, home-recording study, or S20 research EEG result portable decoding; do not spend unused storage without a measured question.</x:v>
      </x:c>
      <x:c r="K9" s="114" t="str">
        <x:v>Loops: 27
External: none for planning; separate exact device or acquisition authorization for execution</x:v>
      </x:c>
      <x:c r="L9" s="114" t="str">
        <x:v>Planning research only. The 5-10 GB envelope is capacity permission, not download permission. S20, S25, real/header/signal/target/model/training access, SDKs, streams, purchases, partner sessions, devices, and hardware each require separate authorization.</x:v>
      </x:c>
      <x:c r="M9" s="114" t="str">
        <x:v>Current research: zero hardware sessions and downloads, one thread, one worker, and 8 MiB planning artifacts. Future storage: 5,000,000,000 preferred and 10,000,000,000 absolute incremental bytes, with no automatic allocation.</x:v>
      </x:c>
      <x:c r="N9" s="141" t="str">
        <x:v>planned_not_authorized; planning_research_complete; selected_lanes=scalp_EEG_local_first|OPM_MEG_partner_lab</x:v>
      </x:c>
      <x:c r="O9" s="147" t="str">
        <x:v>Not Started</x:v>
      </x:c>
      <x:c r="P9" s="150" t="str">
        <x:v>https://facebookresearch.github.io/brain2qwerty/assets/brain2qwerty_v2.pdf
https://www.nature.com/articles/s41593-026-02303-2
https://www.sciencedirect.com/science/article/pii/S1053811921002469
https://pubmed.ncbi.nlm.nih.gov/39302788/
https://pubmed.ncbi.nlm.nih.gov/34273527/
https://pmc.ncbi.nlm.nih.gov/articles/PMC8356471/
https://mne.tools/stable/auto_tutorials/preprocessing/80_opm_processing.html
https://pmc.ncbi.nlm.nih.gov/articles/PMC9372279/
https://pmc.ncbi.nlm.nih.gov/articles/PMC12480468/
https://bids-specification.readthedocs.io/en/stable/modality-specific-files/electroencephalography.html
https://docs.openbci.com/Cyton/CytonDataFormat/
https://brainflow.readthedocs.io/en/stable/DataFormatDesc.html</x:v>
      </x:c>
    </x:row>
    <x:row r="10" ht="176" customHeight="1">
      <x:c r="A10" s="126" t="n">
        <x:v>30</x:v>
      </x:c>
      <x:c r="B10" s="129" t="str">
        <x:v>P2 - Translation And Generalization</x:v>
      </x:c>
      <x:c r="C10" s="114" t="str">
        <x:v>Local Private Streaming Prototype</x:v>
      </x:c>
      <x:c r="D10" s="135" t="str">
        <x:v>P1 / M</x:v>
      </x:c>
      <x:c r="E10" s="114" t="str">
        <x:v>Can a user inspect incremental hypotheses, revisions, timing, provenance, and refusals locally without confusing replay with live decoding?</x:v>
      </x:c>
      <x:c r="F10" s="114" t="str">
        <x:v>A trustworthy interaction surface must expose revision, finalization, latency, uncertainty, and proof posture. Loop 23 showed that a stable zero-revision partial can still be wrong, while Brain2Qwerty v2 remains whole-sentence and noncausal.</x:v>
      </x:c>
      <x:c r="G10" s="114" t="str">
        <x:v>Build: Future loopback-only target-free replay inspector with explicit partial hypotheses, revisions, finalization, nine clock domains, six latency levels, resources, warnings, hashes, proof posture, and browser QA.
Research: Completed four-source-mode taxonomy, 30-field target-free trace, fixed localhost/file/network/accessibility contract, 18 future gates, and 30 refusals.</x:v>
      </x:c>
      <x:c r="H10" s="114" t="str">
        <x:v>Data: Planning research used public primary sources and committed aggregate/mechanics documentation only. A future run may create one new target-free synthetic trace after separate authorization; consumed Loop 23/24 artifacts, S7/S21, targets, models, sockets, streams, and hardware remain closed.
Controls:
- Source, proof posture, producer/decoder causality, unavailable confidence, and no-signal comparator remain visible.
- Explicit revision and finalization; stability is not correctness or confidence.
- Nine clock origins; no unmapped cross-clock subtraction.
- Fixed 127.0.0.1, share/analytics/monitoring/upload off, one thread/worker, zero non-loopback traffic.
- Status/log semantics, keyboard access, stable focus, no forced scroll, reduced motion.</x:v>
      </x:c>
      <x:c r="I10" s="114" t="str">
        <x:v>- first partial, first committed token, and finalization by available clock domain
- revision count, edit overhead, committed prefix, and stable duration
- browser long tasks, Event Timing support, console and render QA
- runtime, peak RSS, input and output bytes
- network, WebSocket, raw, cache, consumed, target, model, training, calibration, stream, SDK, and hardware counters
- source/config/trace/payload hashes and unavailable fields</x:v>
      </x:c>
      <x:c r="J10" s="114" t="str">
        <x:v>Acceptance: Future execution passes only when all 18 gates and 30 refusals pass, all labels and clock origins remain visible, browser QA records zero non-loopback traffic and zero 50-ms long tasks, and all resource/access caps pass.
Stop: Park on target or consumed-artifact contribution, inferred finalization, fabricated confidence, cross-clock subtraction, external bind/request/WebSocket, file exposure, accessibility failure, missing label/counter/hash/warning, cap failure, or any implication of live neural or end-to-end real-time decoding.</x:v>
      </x:c>
      <x:c r="K10" s="114" t="str">
        <x:v>Loops: 25
External: none</x:v>
      </x:c>
      <x:c r="L10" s="114" t="str">
        <x:v>Planning research only. No seed, trace, fixture, UI, server, browser run, model, real/consumed data read, socket, stream, SDK, device, or hardware operation is authorized. A future Loop 30 decision can cover only the bounded synthetic replay inspector and cannot authorize RW3 or a live source.</x:v>
      </x:c>
      <x:c r="M10" s="114" t="str">
        <x:v>Current research: one thread/worker, zero payload/server/browser operations, 8 MiB planning cap. Future: loopback only, one thread/worker, 32 MiB generated artifacts, 1 GiB peak RSS, zero external network dependency.</x:v>
      </x:c>
      <x:c r="N10" s="141" t="str">
        <x:v>planned_not_authorized; planning_research_complete; target_free_replay_only</x:v>
      </x:c>
      <x:c r="O10" s="147" t="str">
        <x:v>Not Started</x:v>
      </x:c>
      <x:c r="P10" s="150" t="str">
        <x:v>https://facebookresearch.github.io/brain2qwerty/assets/brain2qwerty_v2.pdf
https://labstreaminglayer.readthedocs.io/info/time_synchronization.html
https://www.gradio.app/main/docs/gradio/blocks
https://www.gradio.app/main/guides/file-access
https://docs.python.org/3.12/library/time.html#time.perf_counter_ns
https://www.w3.org/TR/2026/WD-hr-time-3-20260225/
https://www.w3.org/TR/longtasks-1/
https://www.w3.org/TR/2026/WD-event-timing-20260223/
https://www.w3.org/WAI/WCAG22/Understanding/status-messages
https://playwright.dev/docs/network
https://arxiv.org/abs/2006.01416
https://arxiv.org/abs/2302.12049</x:v>
      </x:c>
    </x:row>
    <x:row r="11" ht="196" customHeight="1">
      <x:c r="A11" s="126" t="n">
        <x:v>31</x:v>
      </x:c>
      <x:c r="B11" s="129" t="str">
        <x:v>P2 - Translation And Generalization</x:v>
      </x:c>
      <x:c r="C11" s="114" t="str">
        <x:v>Neural Contribution Ablation</x:v>
      </x:c>
      <x:c r="D11" s="135" t="str">
        <x:v>P0 / L</x:v>
      </x:c>
      <x:c r="E11" s="114" t="str">
        <x:v>When a predictive system improves, how much comes from sensor signal rather than language priors, timing, declared context, broken correspondence, or pipeline artifacts?</x:v>
      </x:c>
      <x:c r="F11" s="114" t="str">
        <x:v>A fluent prediction is not an attribution result. The consumed S21 MEG and S7 EEG paths both lose to no-signal priors, so any future improvement must survive signal-free, corrupted-signal, timing, context, and language controls before it can be credited to the sensor input.</x:v>
      </x:c>
      <x:c r="G11" s="114" t="str">
        <x:v>Executed inside the consumed shared event: 10-condition encoder matrix with exact six-item comparisons. The 5-condition LLM/Neuro Token extension remained closed.</x:v>
      </x:c>
      <x:c r="H11" s="114" t="str">
        <x:v>Same consumed Loop 26 train/validation membership only. No source test, session 2, S7, S20, S25, LLM, Neuro Token, stream, device, or hardware access.</x:v>
      </x:c>
      <x:c r="I11" s="114" t="str">
        <x:v>- zero-signal: 6/6 wins, p=0.015625
- timing-only: 6/6 wins, p=0.015625
- prior: 0/1/5, p=1.0
- row derangement: p=0.5
- channel derangement: p=0.71875
- time displacement: p=0.25
- target derangement: p=0.0625</x:v>
      </x:c>
      <x:c r="J11" s="114" t="str">
        <x:v>Failed and parked: the complete registered intersection-union conjunction did not pass. Individual zero/timing wins are diagnostic only and do not establish sensor-signal dependence or brain-specific origin.</x:v>
      </x:c>
      <x:c r="K11" s="114" t="str">
        <x:v>Shared consumed Loop 26 event; Loop 35 remains required for any future brain-specific claim.</x:v>
      </x:c>
      <x:c r="L11" s="114" t="str">
        <x:v>The encoder matrix scored once inside the authorized shared event. Targets are consumed; no matrix rerun, post-target target open, LLM/Neuro Token extension, or new protected operation is authorized.</x:v>
      </x:c>
      <x:c r="M11" s="114" t="str">
        <x:v>Shared measured cap: 1 thread/worker; included in 184.046922 sec and 10,148,673 generated bytes; all caps passed.</x:v>
      </x:c>
      <x:c r="N11" s="141" t="str">
        <x:v>consumed_encoder_matrix; complete_conjunction_failed; no_sensor_signal_claim; language_extension_closed</x:v>
      </x:c>
      <x:c r="O11" s="222" t="str">
        <x:v>Parked; Shared Attribution Gate Failed</x:v>
      </x:c>
      <x:c r="P11" s="150" t="str">
        <x:v>https://www.nature.com/articles/s41593-026-02303-2
https://facebookresearch.github.io/brain2qwerty/assets/brain2qwerty_v2.pdf
https://github.com/facebookresearch/brain2qwerty/tree/3bf5a4099ca0d23bbe994b2287905760236e56e0/brain2qwerty_v2
https://www.jmlr.org/papers/v11/ojala10a.html
https://arxiv.org/abs/1703.06670
https://doi.org/10.1016/j.neuroimage.2018.09.074
https://doi.org/10.1214/ss/1032280304
https://docs.scipy.org/doc/scipy/reference/generated/scipy.stats.permutation_test.html
https://pubmed.ncbi.nlm.nih.gov/28655633/</x:v>
      </x:c>
    </x:row>
    <x:row r="12" ht="216" customHeight="1">
      <x:c r="A12" s="126" t="n">
        <x:v>32</x:v>
      </x:c>
      <x:c r="B12" s="129" t="str">
        <x:v>P2 - Translation And Generalization</x:v>
      </x:c>
      <x:c r="C12" s="114" t="str">
        <x:v>New-Subject Calibration And Adaptation</x:v>
      </x:c>
      <x:c r="D12" s="135" t="str">
        <x:v>P1 / L</x:v>
      </x:c>
      <x:c r="E12" s="114" t="str">
        <x:v>What is the smallest honest calibration budget that improves one fresh person without using final rows for fitting, normalization, model selection, stopping, or thresholding?</x:v>
      </x:c>
      <x:c r="F12" s="114" t="str">
        <x:v>Participant variability is central, but calibration information must be counted honestly. Strict zero-shot, unlabeled transductive, label-light, and supervised transfer are different claims; selection labels are supervision, and one calibrated person is not population evidence.</x:v>
      </x:c>
      <x:c r="G12" s="114" t="str">
        <x:v>Build: Future pointwise causal hidden affine adapter with 16 scales plus 16 biases over a frozen 2,908-parameter source model.
Research: Completed four-mode taxonomy, nested 0/2/4/8/16/32 sentence schedule, physical split and human-burden contracts, zero-shot-before-calibration access order, six conditions, seven claim classes, 20 gates, and 26 refusals.</x:v>
      </x:c>
      <x:c r="H12" s="114" t="str">
        <x:v>Data: Planning used public sources and committed metadata only. A future candidate needs physically distinct, row- and semantic-text-disjoint recordings with at least 32 calibration, 16 selection, and 48 final unique completed sentences. S25 block 2 remains final-only and ineligible.
Controls:
- frozen strict zero-shot
- exact identity adapter
- selected 32-parameter adapter
- source-train-only no-signal prior
- robust normalization-only
- same-budget label derangement for labeled modes</x:v>
      </x:c>
      <x:c r="I12" s="114" t="str">
        <x:v>- macro sentence CER gain versus zero-shot and prior
- gain per item, active second, total minute, and label
- 65,535 random sign assignments plus observed
- practical margins and strict control wins
- no-harm items, wins/ties/losses, selection-to-final generalization
- burden, runtime, RSS, bytes, updates, warnings, unavailable fields, and hashes</x:v>
      </x:c>
      <x:c r="J12" s="114" t="str">
        <x:v>Acceptance: Freeze zero-shot final predictions before any target-person calibration access; freeze one mode, adapter, and budget before adapted final predictions; open final targets once; pass recommended 0.05 macro-CER gains versus zero-shot and prior, paired p&lt;=0.05 gates, and strict applicable-control wins.
Stop: Park on a tie, final harm, split/text/hash/access/privacy/resource failure, hidden labels, multi-mode best-of selection, or any calibrated-as-zero-shot/population/brain-specific overclaim. Margins remain unfrozen until preregistration.</x:v>
      </x:c>
      <x:c r="K12" s="114" t="str">
        <x:v>Loops: 25, 26, 28, 31
External: approved fresh-person protocol; separate candidate preregistration and exact authorization; Loop 35 for brain-specific wording</x:v>
      </x:c>
      <x:c r="L12" s="114" t="str">
        <x:v>Planning research only. Experiment Not Started. No candidate or mode is selected. Participant/cache/signal/label/target access, checkpoint/model/control runs, adapter fitting, parameter updates, training, final evaluation, S20/S25 access, consumed-evidence reopen, downloads, streams, devices, and hardware are unauthorized.</x:v>
      </x:c>
      <x:c r="M12" s="114" t="str">
        <x:v>Current: one thread/worker, 6 public network operations, zero protected bytes, 8 MiB planning cap. Future: one thread/worker, 2,908 frozen base plus at most 32 trainable values, 1,200 sec adapter fits, 1 GiB RSS, 32 MiB artifacts, zero new data/model downloads before separate authorization.</x:v>
      </x:c>
      <x:c r="N12" s="141" t="str">
        <x:v>planned_not_authorized; planning_research_complete; four_modes; 32_parameter_ceiling; no_candidate; S25_final_only</x:v>
      </x:c>
      <x:c r="O12" s="147" t="str">
        <x:v>Not Started</x:v>
      </x:c>
      <x:c r="P12" s="150" t="str">
        <x:v>https://facebookresearch.github.io/brain2qwerty/assets/brain2qwerty_v2.pdf
https://github.com/facebookresearch/brain2qwerty/tree/3bf5a4099ca0d23bbe994b2287905760236e56e0/brain2qwerty_v2
https://ojs.aaai.org/index.php/AAAI/article/view/10306
https://pubmed.ncbi.nlm.nih.gov/31034407/
https://pmc.ncbi.nlm.nih.gov/articles/PMC10790953/
https://pubmed.ncbi.nlm.nih.gov/27989847/</x:v>
      </x:c>
    </x:row>
    <x:row r="13" ht="138" customHeight="1">
      <x:c r="A13" s="126" t="n">
        <x:v>33</x:v>
      </x:c>
      <x:c r="B13" s="129" t="str">
        <x:v>P3 - Reliability And Confounds</x:v>
      </x:c>
      <x:c r="C13" s="114" t="str">
        <x:v>Data Scaling And Sample Efficiency</x:v>
      </x:c>
      <x:c r="D13" s="135" t="str">
        <x:v>P1 / L</x:v>
      </x:c>
      <x:c r="E13" s="114" t="str">
        <x:v>Within the existing 55 source-train sentence instances, does additional unique training data improve one fixed tiny causal encoder, and is its observed upper boundary still improving enough to justify a separate future acquisition decision?</x:v>
      </x:c>
      <x:c r="F13" s="114" t="str">
        <x:v>A prospective bounded curve can guide whether another metadata-only acquisition packet is worth preparing without guessing, reopening consumed evidence, or transferring Brain2Qwerty v2's 90-hour scaling exponent.</x:v>
      </x:c>
      <x:c r="G13" s="114" t="str">
        <x:v>Executed inside the consumed shared event: nested 8/16/24/32/44/55 unique-sentence prefixes, 3 seeds, 18 candidate fits, 6 matched priors, and one shared target open.</x:v>
      </x:c>
      <x:c r="H13" s="114" t="str">
        <x:v>Same 55 train and 6 validation rows as Loop 26. Source test, session 2, new data, and physical repetitions stayed closed.</x:v>
      </x:c>
      <x:c r="I13" s="114" t="str">
        <x:v>- median macro CER 8: 1.514517
- 16: 0.944502; 24: 0.928779
- 32: 0.982745; 44: 0.942438
- 55: 0.938177
- all 3 seed slopes negative
- 8-to-55 gain 0.289202
- 55-vs-prior gain -0.186942</x:v>
      </x:c>
      <x:c r="J13" s="114" t="str">
        <x:v>Failed and parked: descriptive improvement and negative slopes passed subrules, but the 55-row candidate remained 0.186942 worse than its matched prior. No scaling law, saturation, repetition, acquisition, or larger-model claim.</x:v>
      </x:c>
      <x:c r="K13" s="114" t="str">
        <x:v>Shared consumed Loops 26 and 31 event. Loop 31 conjunction also failed.</x:v>
      </x:c>
      <x:c r="L13" s="114" t="str">
        <x:v>The curve trained and scored once under authorization 1c0e52c and freeze 54bdca9. No rerun, post-target restart, acquisition, or protected cohort substitution is authorized.</x:v>
      </x:c>
      <x:c r="M13" s="114" t="str">
        <x:v>Shared measured cap: 1 thread/worker; 18 candidate fits; included in 184.046922 sec, 532,955,136-byte maximum RSS, and 10,148,673 generated bytes.</x:v>
      </x:c>
      <x:c r="N13" s="141" t="str">
        <x:v>consumed_bounded_curve; size55_failed_matched_prior; no_scaling_law; no_acquisition_claim</x:v>
      </x:c>
      <x:c r="O13" s="222" t="str">
        <x:v>Parked; Shared Scaling Gate Failed</x:v>
      </x:c>
      <x:c r="P13" s="150" t="str">
        <x:v>https://facebookresearch.github.io/brain2qwerty/assets/brain2qwerty_v2.pdf
https://arxiv.org/abs/2501.15322
https://arxiv.org/abs/2407.07595
https://pubmed.ncbi.nlm.nih.gov/22336388/
https://pubmed.ncbi.nlm.nih.gov/28655633/</x:v>
      </x:c>
    </x:row>
    <x:row r="14" ht="138" customHeight="1">
      <x:c r="A14" s="126" t="n">
        <x:v>34</x:v>
      </x:c>
      <x:c r="B14" s="129" t="str">
        <x:v>P3 - Reliability And Confounds</x:v>
      </x:c>
      <x:c r="C14" s="114" t="str">
        <x:v>Confidence, Abstention, And Revision</x:v>
      </x:c>
      <x:c r="D14" s="135" t="str">
        <x:v>P1 / M</x:v>
      </x:c>
      <x:c r="E14" s="114" t="str">
        <x:v>Can a target-blind score rank sequence errors, support a preregistered abstention rule on an independent partition, and keep revision stability separate from calibrated correctness?</x:v>
      </x:c>
      <x:c r="F14" s="114" t="str">
        <x:v>A decoder that can refuse usefully is safer than one that always emits fluent text, but raw scores, probability calibration, selective risk, revision stability, and product-visible confidence are different claims.</x:v>
      </x:c>
      <x:c r="G14" s="114" t="str">
        <x:v>Build: Future seven-level confidence contract, eight score/control roles, full working-point and generalized-risk report, abstention/revision policy, probability diagnostics, and explicit unavailable state.
Research: Completed selective-prediction, conformal-risk, calibration, ECE, generalized-risk, small-sample, leakage, and latency boundary with eight outcomes, seven claims, 20 gates, and 30 refusals.</x:v>
      </x:c>
      <x:c r="H14" s="114" t="str">
        <x:v>Data: Recommend fresh target-free synthetic calibration/selection/final counts of 128/64/256 grouped by generation block and schedule. The six real source-validation rows remain reserved for Loops 26/31/33 and cannot fit and independently qualify confidence.
Controls:
- normalized log score, entropy, margin, and prefix stability candidates
- train-only prior, fixed-random, always-predict, and unreachable post-hoc oracle roles
- exactly one score/policy selected on selection only
- all mappings, thresholds, predictions, and hashes frozen before one final open
- no real, consumed, or current-item target leakage</x:v>
      </x:c>
      <x:c r="I14" s="114" t="str">
        <x:v>- exact-sequence 0/1 error as primary bounded loss; raw CER separately
- full risk-coverage table and accepted/generalized error at registered coverage
- legacy AURC with limitations plus AUGRC-equivalent area
- Brier/log loss/reliability only for calibrated probabilities; ECE secondary
- abstention, revisions, first-output/stability/finalization/added-delay times
- exact access, warning, unavailable-field, resource, and hash ledgers</x:v>
      </x:c>
      <x:c r="J14" s="114" t="str">
        <x:v>Acceptance: Pass all 20 gates with disjoint groups, target-blind generation, one selected score and policy, one final open, ranking above prior/random controls, useful minimum coverage, bounded conformal loss, named dependence assumptions, and complete ledgers.
Stop: Publish unavailable on insufficient evidence, leakage, no ranking, below-floor coverage, unbounded loss, omitted dependence, post-final change, resource failure, or synthetic-to-real transfer. Never call stability correctness or raw score probability.</x:v>
      </x:c>
      <x:c r="K14" s="114" t="str">
        <x:v>Loops: 30, 31
External: separate synthetic confidence preregistration and exact authorization; fresh physical calibration/selection/final evidence for any real claim</x:v>
      </x:c>
      <x:c r="L14" s="114" t="str">
        <x:v>Planning research only. Experiment Not Started. Confidence unavailable. No fixture generation, confidence feature, mapping or threshold fit, model inference, target open, scoring, product-visible confidence, real/consumed data access, download, S20/S25, stream, device, or hardware operation is authorized.</x:v>
      </x:c>
      <x:c r="M14" s="114" t="str">
        <x:v>Current: one thread/worker, 5 public web operations, zero protected bytes, 8 MiB planning cap. Future: one thread/worker, zero decoder training, at most 6 scalar mapping fits, 120 sec runtime, 1 GiB RSS, 16 MiB artifacts, zero downloads, and no energy claim without direct measurement.</x:v>
      </x:c>
      <x:c r="N14" s="141" t="str">
        <x:v>planning_research_complete_no_confidence_fit_or_result_unauthorized; confidence_unavailable; semantics=7; score_controls=8; partitions=128|64|256; no_existing_real_confidence_partition</x:v>
      </x:c>
      <x:c r="O14" s="147" t="str">
        <x:v>Not Started</x:v>
      </x:c>
      <x:c r="P14" s="150" t="str">
        <x:v>https://papers.neurips.cc/paper_files/paper/2017/hash/4a8423d5e91fda00bb7e46540e2b0cf1-Abstract.html
https://research.google/pubs/conformal-risk-control/
https://arxiv.org/abs/2202.13415
https://proceedings.mlr.press/v70/guo17a.html
https://arxiv.org/abs/1904.01685
https://arxiv.org/abs/2407.01032</x:v>
      </x:c>
    </x:row>
    <x:row r="15" ht="108" hidden="0" customHeight="1">
      <x:c r="A15" s="126" t="n">
        <x:v>35</x:v>
      </x:c>
      <x:c r="B15" s="129" t="str">
        <x:v>P3 - Reliability And Confounds</x:v>
      </x:c>
      <x:c r="C15" s="114" t="str">
        <x:v>Peripheral Confound Firewall</x:v>
      </x:c>
      <x:c r="D15" s="135" t="str">
        <x:v>P0 / L</x:v>
      </x:c>
      <x:c r="E15" s="114" t="str">
        <x:v>Does a candidate add predictive information beyond every recorded timing and peripheral control, or can leakage, ocular activity, muscle, motion, audio/environment, physiology, equipment, or task identity explain it?</x:v>
      </x:c>
      <x:c r="F15" s="114" t="str">
        <x:v>Overt prompted typing couples brain sensors to key timing, gaze, muscle, motion, audio/visual context, and behavior. A positive EEG/MEG score or artifact-rejected channel does not establish physical origin.</x:v>
      </x:c>
      <x:c r="G15" s="114" t="str">
        <x:v>Build: Future 10-class confound registry, 9-stream synchronization contract, 13-condition matrix, train-only residualization, and fail-closed unavailable fields.
Research: Completed v1/v2 task audit, eye/EMG/MEG artifact review, three-stage evidence plan, eight outcomes, seven claims, 24 gates, and 32 refusals.</x:v>
      </x:c>
      <x:c r="H15" s="114" t="str">
        <x:v>Data: Current S21 has 102 magnetometers and timing but no synchronized EOG/EMG/gaze/motion/audio in the committed cache; consumed S7 named 3 EOG channels but its 61-channel cache contains none.
Controls:
- no-signal and timing-only baselines
- key-identity and prompt/target leak sentinels that invalidate rather than compete
- ocular, distal muscle, proximal muscle, motion, and audio/environment conditions
- strongest combined peripheral comparator
- brain-sensor-only, train-only residualized, and all-stream conditions
- missing controls remain unavailable, never imputed clean/zero/synthetic</x:v>
      </x:c>
      <x:c r="I15" s="114" t="str">
        <x:v>- primary: strongest-peripheral minus all-stream macro sentence CER
- secondary: strongest-nonbrain minus brain-sensor-only macro sentence CER
- residualized repeat with train-only nuisance fit
- recommended 0.05 practical margins and 65,535 paired sign assignments plus observed
- synchronization residuals, anomalies, unavailable streams, bytes, runtime, RSS, and exact access/hash ledgers</x:v>
      </x:c>
      <x:c r="J15" s="114" t="str">
        <x:v>Acceptance: After Loop 31, use physical 32/16/48 calibration/selection/final floors, select the strongest peripheral and one brain candidate on selection only, hash-freeze all predictions, then open final targets once. All registered required components must pass; ties fail.
Stop: Relabel as task/peripheral decoding on leakage, a nonbrain tie/win, missing required streams, synchronization/residualization failure, cap/ledger/hash failure, or post-final restart. Never claim absolute brain origin, language intent, no-keypress/patient transfer, population, real-time, portable, at-home, assistive, diagnostic, or clinical behavior.</x:v>
      </x:c>
      <x:c r="K15" s="114" t="str">
        <x:v>Loops: 30, 31
External: separate Stage A synthetic authorization; new consent/ethics/retention/device/file/byte packet for Stage B; separate task/population program for Stage C</x:v>
      </x:c>
      <x:c r="L15" s="114" t="str">
        <x:v>Planning research only. Experiment Not Started. No synthetic fixture, EOG/EMG/gaze/motion/audio recording, protected cache/signal/target read, model/control run, residualization fit, training, scoring, no-keypress study, download, S20/S25, stream, device, or hardware operation is authorized.</x:v>
      </x:c>
      <x:c r="M15" s="114" t="str">
        <x:v>Current: one thread/worker, 6 public web operations, zero protected bytes, 8 MiB planning cap. Future Stage A: 120 sec, 1 GiB RSS, 16 MiB artifacts. Future Stage B analysis: 1,200 sec, 1 GiB RSS, 32 MiB artifacts; acquisition byte cap remains unavailable until a separate packet. No energy claim without direct measurement.</x:v>
      </x:c>
      <x:c r="N15" s="141" t="str">
        <x:v>planning_research_complete_no_confound_fixture_acquisition_or_brain_specific_result_unauthorized; confounds=10; streams=9; conditions=13; stages=3; missing_controls_fail_closed; maximum_future_local_claim=incremental_brain_sensor_information_beyond_recorded_controls</x:v>
      </x:c>
      <x:c r="O15" s="147" t="str">
        <x:v>Not Started</x:v>
      </x:c>
      <x:c r="P15" s="150" t="str">
        <x:v>https://www.nature.com/articles/s41593-026-02303-2
https://facebookresearch.github.io/brain2qwerty/assets/brain2qwerty_v2.pdf
https://pubmed.ncbi.nlm.nih.gov/30310862/
https://pmc.ncbi.nlm.nih.gov/articles/PMC8747566/
https://www.frontiersin.org/journals/neuroscience/articles/10.3389/fnins.2021.682419/full
https://pubmed.ncbi.nlm.nih.gov/32746290/</x:v>
      </x:c>
      <x:c r="Q15"/>
    </x:row>
    <x:row r="16" ht="129.60000610351562" hidden="0" customHeight="1">
      <x:c r="A16" s="126" t="n">
        <x:v>36</x:v>
      </x:c>
      <x:c r="B16" s="129" t="str">
        <x:v>P3 - Reliability And Confounds</x:v>
      </x:c>
      <x:c r="C16" s="114" t="str">
        <x:v>Geometry And Reference Harmonization</x:v>
      </x:c>
      <x:c r="D16" s="135" t="str">
        <x:v>P1 / M</x:v>
      </x:c>
      <x:c r="E16" s="114" t="str">
        <x:v>Can source/channel identities, signal and coordinate units, sensor/electrode geometry, directional transforms, reference state, compensation, interpolation, and missingness be preserved without guessing or accuracy-selected mapping?</x:v>
      </x:c>
      <x:c r="F16" s="114" t="str">
        <x:v>A shared name, channel count, or visual layout can hide different sensors, frames, references, and derived signals. Hidden harmonization can manufacture transfer; exact-name refusal alone can block legitimate declared comparisons.</x:v>
      </x:c>
      <x:c r="G16" s="114" t="str">
        <x:v>Build: Future 6-layer identity/unit/geometry/frame/reference ledger with 5 modality profiles, a 24-field channel record, 12 operation classes, transform hashes, and missingness masks.
Research: Completed BIDS/MNE channel, coordinate, unit, montage, reference, compensation, interpolation, and claim boundary with 8 outcomes, 7 claims, 22 gates, and 30 refusals.</x:v>
      </x:c>
      <x:c r="H16" s="114" t="str">
        <x:v>Data: Planning used public standards plus committed code/aggregate metadata only. S21 exposes names, types, positions, integer frame/unit codes, and coil types but lacks a complete exchange-frame/orientation/transform/compensation ledger; consumed S7 lacks qualified measured electrode/reference evidence.
Controls:
- exact identity and safe explicit reorder
- versioned bijective aliases with collision refusal
- separate coordinate and signal unit conversions
- directional right-handed rigid transforms and reflection refusal
- unknown frame/orientation/reference/compensation refusal
- interpolation and zero-fill retain missingness and never equal identity
- no mapping selected by evaluation accuracy</x:v>
      </x:c>
      <x:c r="I16" s="114" t="str">
        <x:v>- matched, missing, duplicate, ambiguous, and unavailable channel counts
- rotation orthogonality and determinant; inverse roundtrip residual
- unit conversion identity and dimensional compatibility
- geometry, orientation, reference, and compensation availability
- exact refusal, warning, access, resource, and source/config/transform/payload hash ledgers</x:v>
      </x:c>
      <x:c r="J16" s="114" t="str">
        <x:v>Acceptance: Future Stage A passes all 22 gates and 30 refusals with unique identities, explicit aliases, declared units, named frames, directional 4x4 transforms, determinant +1, &lt;=1e-9 m synthetic roundtrip residual, orientation-without-translation, complete reference/missingness/operator provenance, one thread, caps, and hashes.
Stop: Publish unavailable/incompatible on ambiguity, unknown unit/frame/reference/orientation, reflection, failed roundtrip, template substitution, hidden rereference/interpolation, accuracy-selected mapping, cap/hash failure, or overclaim. Never infer numerical/model/device/neural equivalence from metadata.</x:v>
      </x:c>
      <x:c r="K16" s="114" t="str">
        <x:v>Loops: 29, 30, 35
External: separate Stage A synthetic metadata preregistration/authorization; separate real-header file/byte/privacy packet; separate signal-transform authorization</x:v>
      </x:c>
      <x:c r="L16" s="114" t="str">
        <x:v>Planning research only. Experiment Not Started. No fixture, metadata adapter, real header/signal/target read, alias/transform fit or apply, unit conversion, rereference, compensation, interpolation, source localization, model, training, download, stream, device, hardware, or equivalence claim is authorized.</x:v>
      </x:c>
      <x:c r="M16" s="114" t="str">
        <x:v>Current: one thread/worker, 3 public web operations, zero protected bytes, 8 MiB planning cap. Future Stage A: one thread/worker, 120 sec, 1 GiB RSS, 16 MiB artifacts, zero downloads, optional MNE only inside adapters. Real-header and signal-transform byte caps remain unavailable until exact packets; CPU time is not energy.</x:v>
      </x:c>
      <x:c r="N16" s="141" t="str">
        <x:v>planning_research_complete_no_geometry_fixture_header_signal_transform_or_result_unauthorized; layers=6; modalities=5; fields=24; operations=12; fixtures=16; maximum_future_real_metadata_claim=declared_metadata_compatibility</x:v>
      </x:c>
      <x:c r="O16" s="147" t="str">
        <x:v>Not Started</x:v>
      </x:c>
      <x:c r="P16" s="150" t="str">
        <x:v>https://bids-specification.readthedocs.io/en/stable/appendices/coordinate-systems.html
https://bids-specification.readthedocs.io/en/stable/modality-specific-files/magnetoencephalography.html
https://bids-specification.readthedocs.io/en/stable/modality-specific-files/electroencephalography.html
https://bids-specification.readthedocs.io/en/stable/appendices/units.html
https://mne.tools/1.8/auto_tutorials/forward/20_source_alignment.html
https://mne.tools/stable/generated/mne.transforms.Transform.html
https://mne.tools/stable/generated/mne.channels.DigMontage.html
https://mne.tools/stable/generated/mne.set_eeg_reference.html
https://mne.tools/stable/auto_examples/preprocessing/interpolate_bad_channels.html</x:v>
      </x:c>
      <x:c r="Q16"/>
    </x:row>
    <x:row r="17" ht="129.60000610351562" hidden="0" customHeight="1">
      <x:c r="A17" s="126" t="n">
        <x:v>37</x:v>
      </x:c>
      <x:c r="B17" s="129" t="str">
        <x:v>P4 - Reproducibility And Local Deployment</x:v>
      </x:c>
      <x:c r="C17" s="114" t="str">
        <x:v>BIDS Derivative And Provenance Export</x:v>
      </x:c>
      <x:c r="D17" s="135" t="str">
        <x:v>P1 / M</x:v>
      </x:c>
      <x:c r="E17" s="114" t="str">
        <x:v>Can caches, NeuroTokens, reports, and split metadata become portable source-bound derivative bundles without copying raw recordings, exposing local identifiers, inventing BIDS metadata, or relabeling custom payloads as standard?</x:v>
      </x:c>
      <x:c r="F17" s="114" t="str">
        <x:v>A standard envelope can lower reproduction friction, but local paths, unknown source URIs, subject collisions, raw copies, hidden targets, incompatible licenses, and validator overclaim can make an apparently portable bundle unsafe or scientifically misleading.</x:v>
      </x:c>
      <x:c r="G17" s="114" t="str">
        <x:v>Build: Future 6-layer target-free synthetic BIDS-organized envelope with 5 artifact profiles, 15 stable-field mappings, 16 explicit NeuroDecodeKit extension fields, portable identity, full hashes, and no-raw-copy/release ledgers.
Research: Completed stable BIDS 1.11.1 derivative, dataset-description, file Sources/BIDS URI, naming, non-standard file, validator 2.4.1, privacy/license, and claim mapping with 20 fixtures, 4 stages, 8 outcomes, 6 claims, 24 gates, and 32 refusals.</x:v>
      </x:c>
      <x:c r="H17" s="114" t="str">
        <x:v>Data: Planning used public standards, official validator/example repositories, committed source code, and tracked-file metadata only; tracked neural/model binary candidates=0 and bytes=0. No artifact payload opened.
Controls:
- standard envelope fields separate from non-standard NDK payload fields
- truthful BIDS URIs/DatasetLinks or unavailable plus opaque hash
- no absolute paths, usernames, traversal, case/identity collisions, overwrite, symlink/hardlink/inode aliases
- no raw filenames/extensions/content duplicates
- no targets, prompts, responses, sentence/free text
- unknown payload/license/privacy status refuses
- validator success cannot upgrade custom payload or scientific claims</x:v>
      </x:c>
      <x:c r="I17" s="114" t="str">
        <x:v>- standard/non-standard/required/propagated/omitted/unavailable field counts
- BIDS URI and DatasetLinks resolution; source/split/config/payload/code/manifest/bundle hash coverage
- path, subject/session/item, manifest, and two-clean-root roundtrip identity
- input/output/duplicate/raw-copy/generated bytes and file count
- validator errors/warnings/ignored files; runtime/RSS/threads/workers/network/access counters</x:v>
      </x:c>
      <x:c r="J17" s="114" t="str">
        <x:v>Acceptance: Future Stage A passes all 24 gates and 32 refusals with exact dataset envelope, portable paths, collision-free identity, target-free allowlist, complete hashes, two clean roots, zero raw copies/duplicates/aliases, one thread, and caps. Stage B additionally preserves every issue from pinned offline validator 2.4.1 and can claim only a validator-assessed standard envelope with explicitly non-standard payloads.
Stop: Publish invalid/unavailable/non-standard/blocked on any URI, metadata, path, collision, raw-copy, target, hash, privacy, license, validator, resource, access, or claim failure. Never invent metadata, auto-repair, hide issues, weaken gates, or call custom payloads BIDS-compliant.</x:v>
      </x:c>
      <x:c r="K17" s="114" t="str">
        <x:v>Loops: 36; Loop 38 before real/public metadata; Loop 39 before cross-machine reproducibility; Loop 44 before release wording
External: separate Stage A synthetic metadata authorization; separate Stage B payload/validator authorization; separate Stage C real-derived metadata packet; separate Stage D release decision</x:v>
      </x:c>
      <x:c r="L17" s="114" t="str">
        <x:v>Planning research only. Experiment Not Started and unauthorized. No fixture, exporter, derivative tree, validator install/run, real header/cache/signal/target read, payload hash, subject mapping, raw copy, external write, release/upload, network, model, training, stream, device, hardware, or BIDS-compliant NeuroToken claim is authorized.</x:v>
      </x:c>
      <x:c r="M17" s="114" t="str">
        <x:v>Current: one thread/worker, 7 public web operations including 2 official GitHub reads, zero protected/generated payload bytes, 8 MiB planning cap. Future Stage A: one thread/worker, 120 sec, 1 GiB RSS, 16 MiB, 128 files, zero network/download bytes, zero raw-copy bytes, no base dependency. Real/public byte caps remain unavailable until exact privacy/license packets.</x:v>
      </x:c>
      <x:c r="N17" s="141" t="str">
        <x:v>planning_research_complete_experiment_not_started; layers=6; artifact_profiles=5; standard_fields=15; ndk_extension_fields=16; fixtures=20; stages=4; gates=24; refusals=32; maximum_future_stage_b_claim=validator_assessed_standard_envelope_with_nonstandard_payloads</x:v>
      </x:c>
      <x:c r="O17" s="147" t="str">
        <x:v>Not Started</x:v>
      </x:c>
      <x:c r="P17" s="150" t="str">
        <x:v>https://bids-specification.readthedocs.io/en/stable/derivatives/introduction.html
https://bids-specification.readthedocs.io/en/stable/modality-agnostic-files/dataset-description.html
https://bids-specification.readthedocs.io/en/stable/derivatives/common-data-types.html
https://bids-specification.readthedocs.io/en/stable/common-principles.html
https://bids-specification.readthedocs.io/en/stable/extensions.html
https://github.com/bids-standard/bids-validator
https://github.com/bids-standard/bids-examples
https://arxiv.org/abs/1803.09010</x:v>
      </x:c>
      <x:c r="Q17"/>
    </x:row>
    <x:row r="18" ht="108" hidden="0" customHeight="1">
      <x:c r="A18" s="126" t="n">
        <x:v>38</x:v>
      </x:c>
      <x:c r="B18" s="129" t="str">
        <x:v>P4 - Reproducibility And Local Deployment</x:v>
      </x:c>
      <x:c r="C18" s="114" t="str">
        <x:v>Neural Data Privacy And Lifecycle</x:v>
      </x:c>
      <x:c r="D18" s="135" t="str">
        <x:v>P0 / M</x:v>
      </x:c>
      <x:c r="E18" s="114" t="str">
        <x:v>Can the project prove where sensitive recordings, derived caches, embeddings, reports, logs, temporary files, backups, Git/CI copies, and releases live, who owns them, and what a deletion receipt actually establishes?</x:v>
      </x:c>
      <x:c r="F18" s="114" t="str">
        <x:v>A positive fresh-person result is not responsibly shareable without exact lifecycle evidence. Neural derivatives and stable hashes can remain linkable; ignored paths, local deletion, Git cleanup, media sanitization, consent, license, and release authority are different claims.</x:v>
      </x:c>
      <x:c r="G18" s="114" t="str">
        <x:v>Build: Future target-free synthetic inventory, redaction scanner, copy-surface report, retention policy, and narrow deletion-receipt interface.
Research: Completed NIST PF 1.0, NISTIR 8062, PRAM, SP 800-88 Rev. 2, Git-history, Open Brain Consent, EEG identity-risk, and OECD stewardship mapping with 5 sensitivity levels, 8 artifact classes, 10 lifecycle surfaces, 12 sensitive-field classes, 12 threats, 5 receipt levels, 24 fixtures, 4 stages, 8 outcomes, 6 claims, 26 gates, and 36 refusals.</x:v>
      </x:c>
      <x:c r="H18" s="114" t="str">
        <x:v>Data: Public sources, repository metadata, current tracked names, and all-ref history names only. Current/history neural-model candidate paths=0; no payload opened.
Controls:
- sensitivity inherits from the highest source
- pseudonyms and hashes remain potentially linkable
- local/temp/log/backup/Git/remote/CI/release surfaces stay separate
- consent, license, de-identification, redaction, deletion, and release authority stay separate
- unknown copies remain unresolved
- dry-run, exact-root, manifest-bound deletion only
- no identity attack or protected-root scan</x:v>
      </x:c>
      <x:c r="I18" s="114" t="str">
        <x:v>- artifact and lifecycle coverage by checked/blocked/unavailable/unresolved
- sensitive-field recall and public-fixture precision
- policy violations and prohibited survivor bytes
- current/all-ref tracked neural paths and bytes
- receipt level; deleted/skipped/failed/unresolved copies
- runtime/RSS/bytes/files/threads/workers/network/mutation counters</x:v>
      </x:c>
      <x:c r="J18" s="114" t="str">
        <x:v>Acceptance: Future Stage A passes all 26 gates and 36 refusals with exact synthetic fixtures, zero prohibited survivors, zero tracked neural payload, deterministic receipts, and every copy surface explicitly classified. Unknown copies stay unresolved.
Stop: Block anonymity, privacy-safe, secure-deletion, sharing, and release claims when owner, consent, license, redaction, copy inventory, receipt level, media evidence, resource, or authorization is incomplete. Never delete unrelated work or infer remotes clean from local state.</x:v>
      </x:c>
      <x:c r="K18" s="114" t="str">
        <x:v>Loops: 37; Loop 39 before cross-machine copy claims; Loop 42 before device lifecycle; Loop 44 plus external governance before release
External: separate Stage A synthetic authorization; separate Stage B read-only local metadata authorization; separate Stage C named real-derived packet; separate Stage D public-release decision</x:v>
      </x:c>
      <x:c r="L18" s="114" t="str">
        <x:v>Planning research only. Experiment Not Started and unauthorized. No fixture, scanner, deletion, protected-root scan, identity attack, consent/legal determination, Git history rewrite, remote cleanup, release/upload, network, model, training, stream, device, hardware, anonymous-data, privacy-safe, or secure-sanitization claim is authorized.</x:v>
      </x:c>
      <x:c r="M18" s="114" t="str">
        <x:v>Current: one thread/worker, 6 public web operations and 8 primary page opens, zero protected/generated payload bytes, 8 MiB planning cap. Future Stage A: standard-library-first, one thread/worker, 120 sec, 512 MiB RSS, 8 MiB reports, 128 files, zero network/download/upload bytes, zero real signal reads, zero nonfixture destructive mutations.</x:v>
      </x:c>
      <x:c r="N18" s="141" t="str">
        <x:v>planning_research_complete_experiment_not_started; sensitivity_levels=5; artifact_classes=8; lifecycle_surfaces=10; sensitive_fields=12; threats=12; deletion_receipts=5; fixtures=24; stages=4; gates=26; refusals=36; unknown_copies=unresolved</x:v>
      </x:c>
      <x:c r="O18" s="147" t="str">
        <x:v>Not Started</x:v>
      </x:c>
      <x:c r="P18" s="150" t="str">
        <x:v>https://www.nist.gov/privacy-framework
https://doi.org/10.6028/NIST.IR.8062
https://www.nist.gov/privacy-framework/nist-pram
https://doi.org/10.6028/NIST.SP.800-88r2
https://docs.github.com/en/authentication/keeping-your-account-and-data-secure/removing-sensitive-data-from-a-repository
https://doi.org/10.1002/hbm.25351
https://arxiv.org/abs/2412.09854
https://www.oecd.org/en/topics/responsible-innovation.html</x:v>
      </x:c>
      <x:c r="Q18"/>
    </x:row>
    <x:row r="19" ht="138" customHeight="1">
      <x:c r="A19" s="126" t="n">
        <x:v>39</x:v>
      </x:c>
      <x:c r="B19" s="129" t="str">
        <x:v>P4 - Reproducibility And Local Deployment</x:v>
      </x:c>
      <x:c r="C19" s="114" t="str">
        <x:v>Cross-Machine Reproducibility Matrix</x:v>
      </x:c>
      <x:c r="D19" s="135" t="str">
        <x:v>P0 / M</x:v>
      </x:c>
      <x:c r="E19" s="114" t="str">
        <x:v>Which outputs can be claimed bitwise identical, semantically identical, or numerically compatible across declared Python, operating-system, architecture, and optional-dependency cells?</x:v>
      </x:c>
      <x:c r="F19" s="114" t="str">
        <x:v>Open-source contributors need a fail-closed way to distinguish a deterministic replay bug, a backend-specific numerical difference, an unsupported environment, same-team reproduction, and genuinely independent reproduction.</x:v>
      </x:c>
      <x:c r="G19" s="114" t="str">
        <x:v>Build: Future environment manifest, six-cell base/neuro matrix, output-class comparison engine, canonical semantic hashes, tolerance registry, diagnostics, and bounded reproduction report.
Research: Completed ACM, Reproducible Builds, Python, PyPA, NumPy, PyTorch, GitHub Actions, MNE, and Scientific Python support audit with 7 qualification levels, 18 environment fields, 8 output classes, 6 comparisons, 20 fixtures, 4 stages, 8 outcomes, 7 claims, 28 gates, and 38 refusals.</x:v>
      </x:c>
      <x:c r="H19" s="114" t="str">
        <x:v>Data: Planning used public primary sources plus committed code, CI, package metadata, and local diagnostics only. No fixture or payload opened.
Controls:
- separate base and optional-neuro profiles
- explicit Ubuntu 24.04 x64 and macOS 15 arm64 cells
- Python 3.10/3.11/3.12 base cells plus Python 3.12 neuro cells
- exact canonical-byte and semantic comparisons separate from preregistered float tolerance
- NaN, infinity, dtype, shape, timestamps, masks, warnings, and claim fields fail closed
- same-team and independent reproduction remain separate</x:v>
      </x:c>
      <x:c r="I19" s="114" t="str">
        <x:v>- no protected payload, target, participant, local path, secret, or credential enters a future artifact
- environment identity and dependency manifests are target-free
- public synthetic fixtures only until separate authorization
- no artifact upload or release from this planning result
- independent-reproducer identity and access remain unavailable</x:v>
      </x:c>
      <x:c r="J19" s="114" t="str">
        <x:v>Acceptance: A future staged run must satisfy all 28 gates and 38 refusals, bind every supported cell to the same revision/contract/fixture hashes, compare each output by its declared class, preserve exact semantic identity, keep numerical drift within frozen tolerances, report unsupported cells explicitly, and pass resource/access ledgers.
Stop: Do not claim cross-machine reproduction from one host, widen tolerance after seeing hidden evaluation, collapse same-team into independent reproduction, call package-hash mismatch behavioral failure, or promote compatibility to replication, neural advantage, decoding, real-time, edge, device, or hardware proof.</x:v>
      </x:c>
      <x:c r="K19" s="114" t="str">
        <x:v>Loops 25, 37, 38; Loop 40 packaging and Loop 43 independent reproduction remain later separate gates</x:v>
      </x:c>
      <x:c r="L19" s="114" t="str">
        <x:v>Planning research only. Experiment Not Started. All 36 authorized_now fields are false. No fixture, environment manifest, dependency lock, matrix job, package build, protected payload, model, training, independent reproducer, edge runtime, device, or hardware operation is authorized.</x:v>
      </x:c>
      <x:c r="M19" s="114" t="str">
        <x:v>Future only: &lt;=2 parallel jobs; 1 thread/worker; &lt;=20 min and &lt;=1 GiB peak RSS per cell; &lt;=4 MiB generated artifacts per cell; &lt;=24 MiB total; network only for separately authorized dependency setup; protected/model/target/training/download counters remain zero.</x:v>
      </x:c>
      <x:c r="N19" s="141" t="str">
        <x:v>Planning research complete; experiment Not Started; no cross-machine reproduction or independent reproduction exists.</x:v>
      </x:c>
      <x:c r="O19" s="147" t="str">
        <x:v>Not Started</x:v>
      </x:c>
      <x:c r="P19" s="150" t="str">
        <x:v>docs/LOOP_39_PRIMARY_SOURCE_RESEARCH.md; registries/loop39_research_boundary.v0.json; https://www.acm.org/publications/policies/artifact-review-and-badging-current; https://reproducible-builds.org/docs/definition/; https://docs.github.com/en/actions/reference/runners/github-hosted-runners</x:v>
      </x:c>
    </x:row>
    <x:row r="20" ht="138" customHeight="1">
      <x:c r="A20" s="126" t="n">
        <x:v>40</x:v>
      </x:c>
      <x:c r="B20" s="129" t="str">
        <x:v>P4 - Reproducibility And Local Deployment</x:v>
      </x:c>
      <x:c r="C20" s="114" t="str">
        <x:v>Edge Runtime Packaging Gate</x:v>
      </x:c>
      <x:c r="D20" s="135" t="str">
        <x:v>P2 / L</x:v>
      </x:c>
      <x:c r="E20" s="114" t="str">
        <x:v>Can one qualified frozen path preserve graph outputs, host causal state, timestamps, provenance, visible fallback, and complete deployment cost on one named edge target?</x:v>
      </x:c>
      <x:c r="F20" s="114" t="str">
        <x:v>Packaging can matter only after the reference and target are qualified; otherwise a converted graph is deployment theater.</x:v>
      </x:c>
      <x:c r="G20" s="114" t="str">
        <x:v>Build: Future separately authorized named-target contract, operator audit, package validator, eager comparator, host-state adapter, and complete resource report.
Research: Official comparison of ExecuTorch/XNNPACK, ONNX Runtime Mobile, LiteRT, and Core ML; no backend selected.</x:v>
      </x:c>
      <x:c r="H20" s="114" t="str">
        <x:v>Data: Repository source and recorded Loop 24/39 evidence only now; future frozen target-free synthetic fixture only.
Controls:
- retain the 1,130-parameter/5,210-byte float32 reference
- separate six package layers
- exact state/timestamp/provenance checks
- visible fallback and unsupported operators
- complete package/runtime/kernel/app bytes</x:v>
      </x:c>
      <x:c r="I20" s="114" t="str">
        <x:v>- exact semantic, state, timestamp, and provenance identity
- field-specific numerical drift
- delegated, undelegated, fallback, and unsupported operators
- graph, payload, runtime, kernel, app, temporary, and total bytes
- startup, load, warmup, steady, teardown, RSS, and planned memory</x:v>
      </x:c>
      <x:c r="J20" s="114" t="str">
        <x:v>Acceptance: Adopt only after relevant Loop 39 cells, named target/backend, semantic parity, resource caps, and preregistered complete deployment benefit pass.
Stop: Park on unsupported export, hidden fallback, dtype drift, post-hoc tolerance, retraining, architecture/checkpoint change, resource overflow, or no complete benefit.</x:v>
      </x:c>
      <x:c r="K20" s="114" t="str">
        <x:v>Loops: 39 execution; recorded Loop 24 hold
External: named target before backend selection; separate Stage A-D authorizations; Loop 42 before device qualification; Loop 44 before release</x:v>
      </x:c>
      <x:c r="L20" s="114" t="str">
        <x:v>Planning research only. Experiment Not Started. All 40 authorized_now fields are false. No target/backend selection, fixture, install, export, conversion, package, inference, profiler, memory planner, delegate, simulator, app, device, or hardware operation is authorized.</x:v>
      </x:c>
      <x:c r="M20" s="114" t="str">
        <x:v>Future only: one backend/thread/worker; &lt;=60 s per measurement worker; &lt;=1 GiB RSS; &lt;=32 MiB generated package/report bytes; install bytes separately capped; protected/model/target/training counters remain zero.</x:v>
      </x:c>
      <x:c r="N20" s="141" t="str">
        <x:v>Planning research complete; experiment Not Started; ExecuTorch/XNNPACK is a research lead only; no edge package or portable-hardware result exists.</x:v>
      </x:c>
      <x:c r="O20" s="147" t="str">
        <x:v>Not Started</x:v>
      </x:c>
      <x:c r="P20" s="150" t="str">
        <x:v>docs/LOOP_40_PRIMARY_SOURCE_RESEARCH.md; registries/loop40_research_boundary.v0.json; https://docs.pytorch.org/executorch/stable/getting-started.html; https://onnxruntime.ai/docs/tutorials/mobile/; https://developers.google.com/edge/litert/conversion/pytorch/overview; https://apple.github.io/coremltools/docs-guides/source/target-conversion-formats.html</x:v>
      </x:c>
    </x:row>
    <x:row r="21" ht="138" customHeight="1">
      <x:c r="A21" s="126" t="n">
        <x:v>41</x:v>
      </x:c>
      <x:c r="B21" s="129" t="str">
        <x:v>P5 - Live Translation And Release</x:v>
      </x:c>
      <x:c r="C21" s="114" t="str">
        <x:v>RW3 Stream-To-NeuroToken Integration</x:v>
      </x:c>
      <x:c r="D21" s="135" t="str">
        <x:v>P1 / L</x:v>
      </x:c>
      <x:c r="E21" s="114" t="str">
        <x:v>Can an authorized source-chunk replay pass through causal preprocessing into NeuroTokenCache without timestamp, gap, state, or schedule drift?</x:v>
      </x:c>
      <x:c r="F21" s="114" t="str">
        <x:v>This joins the acquisition contract to the model interface while keeping replay mechanics separate from hardware and decoding claims.</x:v>
      </x:c>
      <x:c r="G21" s="114" t="str">
        <x:v>Future build only: compose RW3 source chunks, authorized Loop 25 causal preprocessing, a causal NeuroToken producer, bounded resume state, anomaly propagation, all schedules, and complete provenance. Research complete: 6 layers, 7 clocks, 8 anomalies, 5 schedules, 5 resume cuts, 18 hash bindings, 28 fixtures, 32 gates, and 42 refusals.</x:v>
      </x:c>
      <x:c r="H21" s="114" t="str">
        <x:v>Planning used official timing, streaming, and provenance sources plus committed contracts only. Future data is one separately authorized target-free synthetic replay. Preserve gaps, duplicates, reorder, reset, reconnect, source/corrected/arrival clocks, and uninterrupted versus resumed execution. No labels or target text.</x:v>
      </x:c>
      <x:c r="I21" s="114" t="str">
        <x:v>- source/preprocessing/token/complete semantic hashes
- timestamp, interval, length, mask, padding, and identity checks
- anomaly and segment propagation
- state bytes and resume identity
- scheduling delay versus stage compute runtime
- RSS, input/output/report bytes, warnings, unavailable fields, and access counters</x:v>
      </x:c>
      <x:c r="J21" s="114" t="str">
        <x:v>Acceptance: only after Loop 25/37/39 and RW3 Stage A close compatibly, plus separate Loop 41 preregistration and authorization. Every schedule, anomaly, and resume path must preserve registered source, preprocessing, token, state, and provenance semantics. Stop on silent repair, clock collapse, cross-gap token, schedule/resume drift, hidden latency, or cap failure.</x:v>
      </x:c>
      <x:c r="K21" s="114" t="str">
        <x:v>Loops: compatible 25, 37, and 39 execution closeouts
External: explicit RW3 Stage A authorization and closeout; separate Loop 41 preregistration and authorization</x:v>
      </x:c>
      <x:c r="L21" s="114" t="str">
        <x:v>Planning research only. Experiment Not Started. All 42 authorized_now fields are false. No seed, fixture, source chunk, correction, preprocessing, adapter, state, token runtime, payload, protected read, target, model, training, decoder, language model, server, browser, socket, stream, SDK, device, hardware, or latency claim is authorized.</x:v>
      </x:c>
      <x:c r="M21" s="114" t="str">
        <x:v>Current generated experiment bytes and execution operations: 0. Future only: 1 thread, 1 worker, &lt;=60 s/worker, &lt;=1 GiB RSS, &lt;=4 KiB RW3 state, &lt;=64 KiB complete state, &lt;=32 MiB fixtures/states/caches/reports, zero network/protected/target/model/training operations.</x:v>
      </x:c>
      <x:c r="N21" s="141" t="str">
        <x:v>Planning research complete; experiment Not Started; no stream-to-NeuroToken runtime, replay-equivalence result, live source, end-to-end latency, decoding, neural, device, or portable-hardware claim.</x:v>
      </x:c>
      <x:c r="O21" s="147" t="str">
        <x:v>Not Started</x:v>
      </x:c>
      <x:c r="P21" s="150" t="str">
        <x:v>docs/LOOP_41_PRIMARY_SOURCE_RESEARCH.md; registries/loop41_research_boundary.v0.json; https://labstreaminglayer.readthedocs.io/info/time_synchronization.html; https://www.w3.org/TR/hr-time-3/; https://bids-specification.readthedocs.io/en/stable/derivatives/introduction.html</x:v>
      </x:c>
    </x:row>
    <x:row r="22" ht="138" customHeight="1">
      <x:c r="A22" s="126" t="n">
        <x:v>42</x:v>
      </x:c>
      <x:c r="B22" s="129" t="str">
        <x:v>P5 - Live Translation And Release</x:v>
      </x:c>
      <x:c r="C22" s="114" t="str">
        <x:v>One-Device Qualification</x:v>
      </x:c>
      <x:c r="D22" s="135" t="str">
        <x:v>P2 / L</x:v>
      </x:c>
      <x:c r="E22" s="114" t="str">
        <x:v>Can one exact OpenBCI Cyton 8-channel USB-radio path preserve declared configuration, packets, clocks, locality, and safety boundaries?</x:v>
      </x:c>
      <x:c r="F22" s="114" t="str">
        <x:v>Q0 planning packet: 28 identity fields, 16 packet fields, 7 timing observables, 10 anomalies, 4 stages, 34 gates, 46 refusals.</x:v>
      </x:c>
      <x:c r="G22" s="114" t="str">
        <x:v>Current: official-specification candidate only. Future: exact device/firmware/dongle/adapter/host stage gates; no connectivity-to-signal or latency promotion.</x:v>
      </x:c>
      <x:c r="H22" s="114" t="str">
        <x:v>No current data. Future target-free synthetic/playback, no-contact bench, then separately consented scalp mechanics with frozen controls.</x:v>
      </x:c>
      <x:c r="I22" s="114" t="str">
        <x:v>Packet integrity, loss/reorder/duplicate/wrap, timestamp provenance, observed latency levels, locality, raw/derived bytes, RSS, warnings.</x:v>
      </x:c>
      <x:c r="J22" s="114" t="str">
        <x:v>Acceptance: qualify only the exact device/firmware/dongle/adapter/host/stage whose gates pass. Stop on unsafe power, hidden cloud/network retention, ambiguous identity, clock inference, or failed packet/accounting gates.</x:v>
      </x:c>
      <x:c r="K22" s="114" t="str">
        <x:v>Loops: 29, 38, 41; External: explicit stage authorization plus ethics, consent, and retention approval before any participant-contact stage.</x:v>
      </x:c>
      <x:c r="L22" s="114" t="str">
        <x:v>Planning only. No SDK import, fixture, runtime, device discovery, socket, stream, board, participant, or hardware operation is authorized.</x:v>
      </x:c>
      <x:c r="M22" s="114" t="str">
        <x:v>One candidate/device/host/thread/worker; future stage caps 60/60/300/600 s; 1 GiB RSS; 64 MiB raw plus 32 MiB derived; zero network/cloud.</x:v>
      </x:c>
      <x:c r="N22" s="141" t="str">
        <x:v>researched_not_authorized</x:v>
      </x:c>
      <x:c r="O22" s="147" t="str">
        <x:v>Planning Research Complete</x:v>
      </x:c>
      <x:c r="P22" s="150" t="str">
        <x:v>https://docs.openbci.com/Cyton/CytonDataFormat/
https://docs.openbci.com/Cyton/CytonSDK/
https://docs.openbci.com/Cyton/CytonSpecs/
https://docs.openbci.com/GettingStarted/Biosensing-Setups/EEGSetup/
https://docs.openbci.com/Software/OpenBCISoftware/GUIDocs/
https://docs.openbci.com/FAQ/PrivacyNotice/
https://brainflow.readthedocs.io/en/stable/SupportedBoards.html
https://brainflow.readthedocs.io/en/stable/DataFormatDesc.html
https://github.com/brainflow-dev/brainflow/blob/master/LICENSE</x:v>
      </x:c>
    </x:row>
    <x:row r="23" ht="138" customHeight="1">
      <x:c r="A23" s="126" t="n">
        <x:v>43</x:v>
      </x:c>
      <x:c r="B23" s="129" t="str">
        <x:v>P5 - Live Translation And Release</x:v>
      </x:c>
      <x:c r="C23" s="114" t="str">
        <x:v>Independent Reproduction Challenge</x:v>
      </x:c>
      <x:c r="D23" s="135" t="str">
        <x:v>P1 / M</x:v>
      </x:c>
      <x:c r="E23" s="114" t="str">
        <x:v>Can one eligible external environment reproduce a frozen target-free software artifact without private guidance or protected neural data?</x:v>
      </x:c>
      <x:c r="F23" s="114" t="str">
        <x:v>Planning packet: 7 qualification levels, 16 independence fields, 28 packet fields, 34 submission fields, 8 comparisons, 12 discrepancies, 4 stages, 36 gates, 48 refusals.</x:v>
      </x:c>
      <x:c r="G23" s="114" t="str">
        <x:v>Current: Q0 unavailable and artifact ineligible. Future: commit-reveal target-free NeuroToken causal-replay artifact reproduction; not scientific replication.</x:v>
      </x:c>
      <x:c r="H23" s="114" t="str">
        <x:v>Incident: local validator parsed 136 cache JSON files, including 11 known consumed session-2 reports/metadata; no tuning, scoring, inference, or claim selection. Future public target-free synthetic artifact only.</x:v>
      </x:c>
      <x:c r="I23" s="114" t="str">
        <x:v>Semantic/discrete identity, registered floating tolerances, environment and command ledger, runtime/RSS/bytes, warnings, discrepancies, privacy/security findings.</x:v>
      </x:c>
      <x:c r="J23" s="114" t="str">
        <x:v>Acceptance: one eligible commit-reveal submission may establish only independent reproduction of the exact artifact contract. Stop on missing independence, commitment order, semantic identity, privacy/security, resource, credit, or release gates.</x:v>
      </x:c>
      <x:c r="K23" s="114" t="str">
        <x:v>Loops: 37, 38, 39; External: separate A-D authorizations, community participant/review, and Loop 44 claim review.</x:v>
      </x:c>
      <x:c r="L23" s="114" t="str">
        <x:v>Planning only. No packet, oracle, fixture, issue, workflow, outreach, contributor, submission, adjudication, archive, badge, DOI, release, or runtime is authorized. Zero-consumed-read claim withdrawn after recorded validator incident.</x:v>
      </x:c>
      <x:c r="M23" s="114" t="str">
        <x:v>One CPU thread/worker; 300 s A/B, 900 s C/D; 1 GiB RSS; 16 MiB packet, 32 MiB submission, 16 MiB archive, 64 MiB total; zero neural payload.</x:v>
      </x:c>
      <x:c r="N23" s="141" t="str">
        <x:v>researched_not_authorized</x:v>
      </x:c>
      <x:c r="O23" s="147" t="str">
        <x:v>Planning Research Complete</x:v>
      </x:c>
      <x:c r="P23" s="150" t="str">
        <x:v>https://www.acm.org/publications/policies/artifact-review-and-badging-current
https://codecheck.org.uk/
https://codecheck.org.uk/project/
https://resciencec.readthedocs.io/en/latest/submitting.html
https://rescience.github.io/faq/
https://www.jmlr.org/papers/v22/20-303.html
https://doi.org/10.15497/RDA00068
https://docs.github.com/en/actions/reference/security/secure-use
https://docs.github.com/en/actions/reference/security/securely-using-pull_request_target</x:v>
      </x:c>
    </x:row>
    <x:row r="24" ht="138" customHeight="1">
      <x:c r="A24" s="127" t="n">
        <x:v>44</x:v>
      </x:c>
      <x:c r="B24" s="130" t="str">
        <x:v>P5 - Live Translation And Release</x:v>
      </x:c>
      <x:c r="C24" s="115" t="str">
        <x:v>Claim Promotion And Release Decision</x:v>
      </x:c>
      <x:c r="D24" s="136" t="str">
        <x:v>P0 / M</x:v>
      </x:c>
      <x:c r="E24" s="115" t="str">
        <x:v>Which engineering and scientific claims have earned promotion into a release, and which remain fixture-backed, negative, unavailable, parked, or killed?</x:v>
      </x:c>
      <x:c r="F24" s="115" t="str">
        <x:v>The roadmap should end in an evidence decision, not an accumulation of features or optimistic wording.</x:v>
      </x:c>
      <x:c r="G24" s="115" t="str">
        <x:v>Build: Machine-readable evidence matrix, model and dataset cards, release checklist, claim diff, risk register, and signed proceed, park, or kill decision.
Research: Release and reporting policy grounded in model cards, datasheets, privacy, licensing, and reproducibility evidence.</x:v>
      </x:c>
      <x:c r="H24" s="115" t="str">
        <x:v>Data: Artifact-only synthesis of closed loop reports; no raw, consumed, target, model, training, device, or network operation.
Controls:
- Every claim links to a cohort, split, comparator, uncertainty, resource, and access record.
- Negative results and unavailable fields remain visible.
- Engineering capability and scientific performance are stated separately.
- Clinical, arbitrary-thought, portable-hardware, and real-time claims default to unavailable.</x:v>
      </x:c>
      <x:c r="I24" s="115" t="str">
        <x:v>- claims promoted, parked, killed, and unavailable
- evidence-card completeness
- unresolved privacy, license, security, and reproducibility blockers
- artifact and documentation link integrity
- release test and CI status</x:v>
      </x:c>
      <x:c r="J24" s="115" t="str">
        <x:v>Acceptance: Release only the subset whose exact evidence cards, licenses, privacy controls, independent reproduction, tests, and claim language pass; all other claims stay explicitly unestablished.
Stop: Hold the release rather than soften a failed gate, omit a negative comparator, or convert an engineering interface proof into a decoding claim.</x:v>
      </x:c>
      <x:c r="K24" s="115" t="str">
        <x:v>Loops: 38, 39, 43
External: maintainer_release_decision</x:v>
      </x:c>
      <x:c r="L24" s="115" t="str">
        <x:v>Planning only. The future release decision cannot retroactively authorize or upgrade any earlier experiment.</x:v>
      </x:c>
      <x:c r="M24" s="115" t="str">
        <x:v>Artifact-only review, one thread, one worker, 16 MiB generated reports, zero data/model/training/device access, and complete link/test checks.</x:v>
      </x:c>
      <x:c r="N24" s="142" t="str">
        <x:v>artifact_only_claim_review_release_held</x:v>
      </x:c>
      <x:c r="O24" s="148" t="str">
        <x:v>Planning Research Complete</x:v>
      </x:c>
      <x:c r="P24" s="151" t="str">
        <x:v>https://arxiv.org/abs/1810.03993
https://arxiv.org/abs/1803.09010
https://www.nist.gov/privacy-framework/privacy-framework</x:v>
      </x:c>
    </x:row>
  </x:sheetData>
  <x:mergeCells>
    <x:mergeCell ref="A1:P1"/>
    <x:mergeCell ref="A2:P2"/>
    <x:mergeCell ref="A3:P3"/>
  </x:mergeCells>
  <x:conditionalFormatting sqref="O5:O24">
    <x:cfRule type="containsText" dxfId="4" priority="1" operator="containsText" text="Done"/>
    <x:cfRule type="containsText" dxfId="5" priority="2" operator="containsText" text="Parked"/>
    <x:cfRule type="containsText" dxfId="6" priority="3" operator="containsText" text="Blocked"/>
    <x:cfRule type="containsText" dxfId="7" priority="4" operator="containsText" text="Not Started"/>
  </x:conditionalFormatting>
  <x:dataValidations count="2">
    <x:dataValidation type="list" sqref="O5:O24">
      <x:formula1>'Lists'!$A$2:$A$7</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199c5ad139ca4280"/>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8" hidden="0" customWidth="1"/>
    <x:col min="2" max="2" width="22" hidden="0" customWidth="1"/>
    <x:col min="3" max="3" width="26" hidden="0" customWidth="1"/>
    <x:col min="4" max="4" width="10" hidden="0" customWidth="1"/>
    <x:col min="5" max="5" width="34" hidden="0" customWidth="1"/>
    <x:col min="6" max="6" width="28" hidden="0" customWidth="1"/>
    <x:col min="7" max="7" width="36" hidden="0" customWidth="1"/>
    <x:col min="8" max="8" width="45" hidden="0" customWidth="1"/>
    <x:col min="9" max="9" width="30" hidden="0" customWidth="1"/>
    <x:col min="10" max="10" width="43" hidden="0" customWidth="1"/>
    <x:col min="11" max="11" width="16" hidden="0" customWidth="1"/>
    <x:col min="12" max="12" width="38" hidden="0" customWidth="1"/>
    <x:col min="13" max="13" width="24" hidden="0" customWidth="1"/>
    <x:col min="14" max="14" width="24" hidden="0" customWidth="1"/>
    <x:col min="15" max="15" width="18" hidden="0" customWidth="1"/>
    <x:col min="16" max="16" width="35" hidden="0" customWidth="1"/>
  </x:cols>
  <x:sheetData>
    <x:row r="1" ht="34" customHeight="1">
      <x:c r="A1" s="156" t="str">
        <x:v>NeuroDecodeKit Scientific Evidence Roadmap: Loops 45-64</x:v>
      </x:c>
      <x:c r="B1" s="156"/>
      <x:c r="C1" s="156"/>
      <x:c r="D1" s="156"/>
      <x:c r="E1" s="156"/>
      <x:c r="F1" s="156"/>
      <x:c r="G1" s="156"/>
      <x:c r="H1" s="156"/>
      <x:c r="I1" s="156"/>
      <x:c r="J1" s="156"/>
      <x:c r="K1" s="156"/>
      <x:c r="L1" s="156"/>
      <x:c r="M1" s="156"/>
      <x:c r="N1" s="156"/>
      <x:c r="O1" s="156"/>
      <x:c r="P1" s="156"/>
    </x:row>
    <x:row r="2" ht="54" customHeight="1">
      <x:c r="A2" s="161" t="str">
        <x:v>North star: one target-blind real neural-effect event at a time. Loops 46/47 are consumed and parked; Loop 48 has one exact artifact-only Stage A request plus a separate design-only H1-H5 train-only portfolio.</x:v>
      </x:c>
      <x:c r="B2" s="161"/>
      <x:c r="C2" s="161"/>
      <x:c r="D2" s="161"/>
      <x:c r="E2" s="161"/>
      <x:c r="F2" s="161"/>
      <x:c r="G2" s="161"/>
      <x:c r="H2" s="161"/>
      <x:c r="I2" s="161"/>
      <x:c r="J2" s="161"/>
      <x:c r="K2" s="161"/>
      <x:c r="L2" s="161"/>
      <x:c r="M2" s="161"/>
      <x:c r="N2" s="161"/>
      <x:c r="O2" s="161"/>
      <x:c r="P2" s="161"/>
    </x:row>
    <x:row r="3" ht="48" customHeight="1">
      <x:c r="A3" s="173" t="str">
        <x:v>Loop 45 mechanics complete | Loops 46/47 parked | Loop 48 Stage A authorization pending; Stage B design-only | Loops 49-64 Not Started | one-thread default | S21 validation/session 2 and S7 consumed | S25 final-only | all execution_authorized=false</x:v>
      </x:c>
      <x:c r="B3" s="174"/>
      <x:c r="C3" s="174"/>
      <x:c r="D3" s="174"/>
      <x:c r="E3" s="174"/>
      <x:c r="F3" s="174"/>
      <x:c r="G3" s="174"/>
      <x:c r="H3" s="174"/>
      <x:c r="I3" s="174"/>
      <x:c r="J3" s="174"/>
      <x:c r="K3" s="174"/>
      <x:c r="L3" s="174"/>
      <x:c r="M3" s="174"/>
      <x:c r="N3" s="174"/>
      <x:c r="O3" s="174"/>
      <x:c r="P3" s="175"/>
    </x:row>
    <x:row r="4" ht="42" customHeight="1">
      <x:c r="A4" s="180" t="str">
        <x:v>Loop</x:v>
      </x:c>
      <x:c r="B4" s="180" t="str">
        <x:v>Phase</x:v>
      </x:c>
      <x:c r="C4" s="180" t="str">
        <x:v>Work order</x:v>
      </x:c>
      <x:c r="D4" s="180" t="str">
        <x:v>Priority</x:v>
      </x:c>
      <x:c r="E4" s="180" t="str">
        <x:v>Core question</x:v>
      </x:c>
      <x:c r="F4" s="180" t="str">
        <x:v>Scientific claim target</x:v>
      </x:c>
      <x:c r="G4" s="180" t="str">
        <x:v>Build deliverable</x:v>
      </x:c>
      <x:c r="H4" s="180" t="str">
        <x:v>Data scope + controls</x:v>
      </x:c>
      <x:c r="I4" s="180" t="str">
        <x:v>Primary metrics</x:v>
      </x:c>
      <x:c r="J4" s="180" t="str">
        <x:v>Acceptance + kill/park</x:v>
      </x:c>
      <x:c r="K4" s="180" t="str">
        <x:v>Dependencies</x:v>
      </x:c>
      <x:c r="L4" s="180" t="str">
        <x:v>Authorization boundary</x:v>
      </x:c>
      <x:c r="M4" s="180" t="str">
        <x:v>Future resource cap</x:v>
      </x:c>
      <x:c r="N4" s="180" t="str">
        <x:v>Proof posture</x:v>
      </x:c>
      <x:c r="O4" s="180" t="str">
        <x:v>Status</x:v>
      </x:c>
      <x:c r="P4" s="180" t="str">
        <x:v>Primary source URLs</x:v>
      </x:c>
    </x:row>
    <x:row r="5" ht="174" customHeight="1">
      <x:c r="A5" s="190" t="n">
        <x:v>45</x:v>
      </x:c>
      <x:c r="B5" s="128" t="str">
        <x:v>P6 - Real Signal Truth</x:v>
      </x:c>
      <x:c r="C5" s="193" t="str">
        <x:v>Causal Source-Path Qualification</x:v>
      </x:c>
      <x:c r="D5" s="134" t="str">
        <x:v>P0</x:v>
      </x:c>
      <x:c r="E5" s="113" t="str">
        <x:v>Can the amended Loop 25 v1 preprocessing path pass its static anti-alias and exact causal replay gates before any real training row opens?</x:v>
      </x:c>
      <x:c r="F5" s="199" t="str">
        <x:v>mechanics prerequisite only</x:v>
      </x:c>
      <x:c r="G5" s="113" t="str">
        <x:v>Completed the exact v1 filter-design, response, alias, schedule, resume, state, timestamp, padding, access, mutation, and resource gates under the separate green authorization and implementation sequence.</x:v>
      </x:c>
      <x:c r="H5" s="113" t="str">
        <x:v>Data: 24 target-free synthetic items only; no S21, S7, S20, or S25 payload.
Controls passed:
- 65,537-point response grid
- 23 alias probes
- 168 schedule checks
- 240 resume checks
- 72 future-mutation checks
- zero protected reads</x:v>
      </x:c>
      <x:c r="I5" s="113" t="str">
        <x:v>- 24/24 items passed
- folding-band maximum -67.503786 dB
- exact sample/timestamp identity
- zero right context
- 5.542175 sec static + complete internal
- 136,806,400-byte maximum RSS
- 788,967 generated bytes</x:v>
      </x:c>
      <x:c r="J5" s="113" t="str">
        <x:v>Passed once: static anti-alias qualification preceded seed access, development froze before conditional qualification, and every causal replay and resource invariant passed.
No rerun is authorized. Retained neural information and end-to-end latency remain unmeasured.</x:v>
      </x:c>
      <x:c r="K5" s="113" t="str">
        <x:v>Loops: 25 (satisfied)</x:v>
      </x:c>
      <x:c r="L5" s="113" t="str">
        <x:v>Completed once through green authorization 1e7296a and implementation 439f151. Current execution authorization is false; Loop 46 remains a separate hash-bound preregistration and authorization decision.</x:v>
      </x:c>
      <x:c r="M5" s="113" t="str">
        <x:v>Measured: one thread; one worker; 5.542175 sec static + complete internal; 136,806,400-byte maximum RSS; 788,967 generated bytes</x:v>
      </x:c>
      <x:c r="N5" s="218" t="str">
        <x:v>target_free_synthetic_mechanics_only</x:v>
      </x:c>
      <x:c r="O5" s="220" t="str">
        <x:v>Complete</x:v>
      </x:c>
      <x:c r="P5" s="113" t="str">
        <x:v>https://facebookresearch.github.io/brain2qwerty/assets/brain2qwerty_v2.pdf
https://arxiv.org/abs/1606.05201
https://www.jmlr.org/papers/v11/ojala10a.html</x:v>
      </x:c>
    </x:row>
    <x:row r="6" ht="174" customHeight="1">
      <x:c r="A6" s="191" t="n">
        <x:v>46</x:v>
      </x:c>
      <x:c r="B6" s="129" t="str">
        <x:v>P6 - Real Signal Truth</x:v>
      </x:c>
      <x:c r="C6" s="194" t="str">
        <x:v>Reserved S21 Neural-Effect Gate</x:v>
      </x:c>
      <x:c r="D6" s="135" t="str">
        <x:v>P0</x:v>
      </x:c>
      <x:c r="E6" s="114" t="str">
        <x:v>Does one fixed 2,908-parameter causal encoder beat the train-only no-signal prior on all six reserved S21 source-validation sentences?</x:v>
      </x:c>
      <x:c r="F6" s="200" t="str">
        <x:v>bounded one-person one-session neural advantage on source validation</x:v>
      </x:c>
      <x:c r="G6" s="114" t="str">
        <x:v>Completed the shared 55-row train path, 21 fits, 24 target-blind inferences, 6 priors, 31-set prediction freeze, remote-green target firewall, and one six-target score.</x:v>
      </x:c>
      <x:c r="H6" s="114" t="str">
        <x:v>S21 session-1 source train and six validation rows only. Five source-test rows and session 2 remained closed. Prior, zero, row/channel/time derangements, timing-only, train-pairing, and linear controls were retained.</x:v>
      </x:c>
      <x:c r="I6" s="114" t="str">
        <x:v>- candidate/prior macro CER 0.938177 / 0.751235
- margin -0.186942
- 0 wins, 1 tie, 5 losses
- one-sided p=1.0
- blank fraction 0.993477
- runtime 184.046922 sec target-blind + 0.017592 sec score
- max RSS 532,955,136 bytes</x:v>
      </x:c>
      <x:c r="J6" s="114" t="str">
        <x:v>Failed: candidate did not improve by &gt;=0.05 and did not win all six items; complete control conjunction failed. Park scaling and do not open source test or session 2.</x:v>
      </x:c>
      <x:c r="K6" s="114" t="str">
        <x:v>Loops 45, 26, 31, 33. Next diagnostic work order: Loop 48.</x:v>
      </x:c>
      <x:c r="L6" s="114" t="str">
        <x:v>Preregistered at 881145d, authorized at 1c0e52c, and frozen at remote-green 54bdca9 before one target delivery. Event consumed; no rerun, larger model, or tuning authorized.</x:v>
      </x:c>
      <x:c r="M6" s="114" t="str">
        <x:v>Measured: 1 thread; 1 worker; 2,908 parameters; 184.046922 sec target-blind end to end; 532,955,136-byte max RSS; 10,148,673 generated bytes; all caps passed</x:v>
      </x:c>
      <x:c r="N6" s="206" t="str">
        <x:v>consumed_registered_negative_result_no_rerun</x:v>
      </x:c>
      <x:c r="O6" s="222" t="str">
        <x:v>Parked; Registered Gate Failed</x:v>
      </x:c>
      <x:c r="P6" s="114" t="str">
        <x:v>https://facebookresearch.github.io/brain2qwerty/assets/brain2qwerty_v2.pdf
https://arxiv.org/abs/1606.05201
https://www.jmlr.org/papers/v11/ojala10a.html</x:v>
      </x:c>
    </x:row>
    <x:row r="7" ht="174" customHeight="1">
      <x:c r="A7" s="191" t="n">
        <x:v>47</x:v>
      </x:c>
      <x:c r="B7" s="129" t="str">
        <x:v>P6 - Real Signal Truth</x:v>
      </x:c>
      <x:c r="C7" s="194" t="str">
        <x:v>Neural Signal Attribution Matrix</x:v>
      </x:c>
      <x:c r="D7" s="135" t="str">
        <x:v>P0</x:v>
      </x:c>
      <x:c r="E7" s="114" t="str">
        <x:v>Does the same shared event show that any primary advantage requires intact sensor structure rather than timing, labels, or corruption artifacts?</x:v>
      </x:c>
      <x:c r="F7" s="200" t="str">
        <x:v>sensor-signal dependence for the exact S21 source slice</x:v>
      </x:c>
      <x:c r="G7" s="114" t="str">
        <x:v>Completed the frozen ten-condition Loop 31 encoder matrix inside the same consumed Loop 46 event. No post-score matrix run occurred.</x:v>
      </x:c>
      <x:c r="H7" s="114" t="str">
        <x:v>Same consumed Loop 46 members. Zero/timing controls passed individually; prior and required corruption conjunction did not. LLM/Neuro Token remained closed.</x:v>
      </x:c>
      <x:c r="I7" s="114" t="str">
        <x:v>- zero signal and timing-only: 6/6 wins, p=0.015625
- prior: 0/1/5, p=1.0
- row/channel/time/target components did not form a passing conjunction</x:v>
      </x:c>
      <x:c r="J7" s="114" t="str">
        <x:v>Failed: the intact candidate did not beat every registered signal-free and corrupted-signal condition. No sensor-signal-dependence or brain-origin claim.</x:v>
      </x:c>
      <x:c r="K7" s="114" t="str">
        <x:v>Loops 46 and 31. Route aggregate discrepancy to Loop 48 only.</x:v>
      </x:c>
      <x:c r="L7" s="114" t="str">
        <x:v>Shared event consumed. No post-Loop-46 target open, matrix rerun, LLM/Neuro Token extension, or protected operation is authorized.</x:v>
      </x:c>
      <x:c r="M7" s="114" t="str">
        <x:v>Included in Loop 46 measured resource envelope; no new target delivery or artifact allowance</x:v>
      </x:c>
      <x:c r="N7" s="206" t="str">
        <x:v>consumed_shared_attribution_gate_failed</x:v>
      </x:c>
      <x:c r="O7" s="215" t="str">
        <x:v>Parked; Shared Attribution Gate Failed</x:v>
      </x:c>
      <x:c r="P7" s="114" t="str">
        <x:v>https://facebookresearch.github.io/brain2qwerty/assets/brain2qwerty_v2.pdf
https://arxiv.org/abs/1606.05201
https://www.jmlr.org/papers/v11/ojala10a.html</x:v>
      </x:c>
    </x:row>
    <x:row r="8" ht="174" customHeight="1">
      <x:c r="A8" s="191" t="n">
        <x:v>48</x:v>
      </x:c>
      <x:c r="B8" s="129" t="str">
        <x:v>P6 - Real Signal Truth</x:v>
      </x:c>
      <x:c r="C8" s="194" t="str">
        <x:v>Negative-Result Failure Localization</x:v>
      </x:c>
      <x:c r="D8" s="135" t="str">
        <x:v>P0</x:v>
      </x:c>
      <x:c r="E8" s="114" t="str">
        <x:v>If the real effect gate fails, is the limiting factor target identity, causal preprocessing, signal quality, temporal resolution, model fit, or no-signal prior strength?</x:v>
      </x:c>
      <x:c r="F8" s="200" t="str">
        <x:v>diagnostic boundary, not decoding performance</x:v>
      </x:c>
      <x:c r="G8" s="114" t="str">
        <x:v>Prepared the green hash-bound artifact-only contract, its exact four-JSON Stage A request, and a separate design-only H1-H5 train-only hypothesis portfolio. F5 remains a phenotype, not a root cause; Stage B allows multiple causes to coexist.</x:v>
      </x:c>
      <x:c r="H8" s="114" t="str">
        <x:v>Stage A: only four committed JSON artifacts totaling 155,545 bytes. Stage B design: future disjoint fit/check partitions only inside 55 source-train rows. No validation target, source test, session 2, S7, S20, or S25 contribution.</x:v>
      </x:c>
      <x:c r="I8" s="114" t="str">
        <x:v>Stage A evidence: primary blank 0.993477; candidate/prior CER 0.938177/0.751235; all-condition blank range 0.997146; 6/6 prefix groups disperse; 3/3 size-55 seeds lose to prior. Stage B hypotheses: H1 CTC fit; H2 signal quality; H3 timing/preprocessing; H4 separability; H5 prior dominance.</x:v>
      </x:c>
      <x:c r="J8" s="114" t="str">
        <x:v>Current gate: exact Stage A authorization sentence or hold. Stage B remains unregistered until Stage A closes and a separately authorized static prototype measures overhead; do not force one root-cause winner or use validation targets.</x:v>
      </x:c>
      <x:c r="K8" s="114" t="str">
        <x:v>Loops 46/47 consumed and parked. Stage A request is independent. Stage B cannot inherit Stage A authorization and requires frozen train-only split, thresholds, inventory, and caps.</x:v>
      </x:c>
      <x:c r="L8" s="114" t="str">
        <x:v>Every authorization field is false. No analyzer, Stage A run, fixture, Stage B split, train/cache/signal/target read, model, training, score, S25, stream, device, hardware, claim upgrade, or rerun exists.</x:v>
      </x:c>
      <x:c r="M8" s="114" t="str">
        <x:v>Current artifacts: Stage A request 23,788 bytes; H1-H5 portfolio 20,377 bytes. Future Stage A cap: 30 sec, 256 MiB RSS, 1 MiB output, 1 thread/worker. Stage B runtime/RSS/output/model caps are intentionally unfrozen.</x:v>
      </x:c>
      <x:c r="N8" s="206" t="str">
        <x:v>stage_a_request_prepared_unauthorized; stage_b_parallel_hypotheses_design_only; sequential_compute; no_scientific_claim_upgrade</x:v>
      </x:c>
      <x:c r="O8" s="215" t="str">
        <x:v>Preregistered; Authorization Pending</x:v>
      </x:c>
      <x:c r="P8" s="114" t="str">
        <x:v>https://arxiv.org/abs/2105.14849
https://www.nature.com/articles/s41593-026-02303-2
https://www.nature.com/articles/s41467-025-65499-0
https://www.nature.com/articles/s42003-025-08464-3
https://pubmed.ncbi.nlm.nih.gov/30127712/</x:v>
      </x:c>
    </x:row>
    <x:row r="9" ht="174" customHeight="1">
      <x:c r="A9" s="191" t="n">
        <x:v>49</x:v>
      </x:c>
      <x:c r="B9" s="129" t="str">
        <x:v>P7 - Unseen-Person Verdict</x:v>
      </x:c>
      <x:c r="C9" s="194" t="str">
        <x:v>Fresh Development-Person Intake</x:v>
      </x:c>
      <x:c r="D9" s="135" t="str">
        <x:v>P0</x:v>
      </x:c>
      <x:c r="E9" s="114" t="str">
        <x:v>Can one non-S25 participant provide a development-only transfer cohort without consuming the final unseen-person test?</x:v>
      </x:c>
      <x:c r="F9" s="200" t="str">
        <x:v>development cohort qualification only</x:v>
      </x:c>
      <x:c r="G9" s="114" t="str">
        <x:v>Metadata selector, exact byte plan, task/license/identity audit, preregistration, and bounded acquisition request for one nonfinal MEG participant.</x:v>
      </x:c>
      <x:c r="H9" s="114" t="str">
        <x:v>Data: Public metadata first; future two-file single-FIF/log bundle preferred under 1.25 GiB; S25 remains physically final-only.
Controls:
- exclude S21 S7 S20 S25
- single complete FIF/log pair
- task and modality match
- subject exclusion audit
- dry-run exact bytes
- no backup substitution</x:v>
      </x:c>
      <x:c r="I9" s="114" t="str">
        <x:v>- eligible candidates
- files
- bytes
- sessions
- trial floor
- license
- identity overlap
- unavailable fields</x:v>
      </x:c>
      <x:c r="J9" s="114" t="str">
        <x:v>Accept: One eligible development participant has exact identities, &gt;=48 usable trials, compatible task/modality, explicit license, and total planned bytes within cap.
Kill/Park: If no candidate qualifies, do not repurpose S25; return to public-data search or multi-session S21 mechanics without a generalization claim.</x:v>
      </x:c>
      <x:c r="K9" s="114" t="str">
        <x:v>Loops: 47</x:v>
      </x:c>
      <x:c r="L9" s="114" t="str">
        <x:v>Candidate selection and storage capacity are not download permission; exact acquisition needs a separate dry-run and --execute authorization.</x:v>
      </x:c>
      <x:c r="M9" s="114" t="str">
        <x:v>metadata planning zero download; future preferred &lt;=1.25 GiB; absolute cumulative user envelope remains 10 GB</x:v>
      </x:c>
      <x:c r="N9" s="206" t="str">
        <x:v>planned_not_authorized</x:v>
      </x:c>
      <x:c r="O9" s="215" t="str">
        <x:v>Not Started</x:v>
      </x:c>
      <x:c r="P9" s="114" t="str">
        <x:v>https://facebookresearch.github.io/brain2qwerty/assets/brain2qwerty_v2.pdf
https://arxiv.org/abs/1606.05201
https://arxiv.org/abs/1803.09010</x:v>
      </x:c>
    </x:row>
    <x:row r="10" ht="174" customHeight="1">
      <x:c r="A10" s="191" t="n">
        <x:v>50</x:v>
      </x:c>
      <x:c r="B10" s="129" t="str">
        <x:v>P7 - Unseen-Person Verdict</x:v>
      </x:c>
      <x:c r="C10" s="194" t="str">
        <x:v>Multi-Source Frozen Encoder</x:v>
      </x:c>
      <x:c r="D10" s="135" t="str">
        <x:v>P0</x:v>
      </x:c>
      <x:c r="E10" s="114" t="str">
        <x:v>Can a tiny causal model learn from S21 plus one development participant without participant leakage or participant-specific target shortcuts?</x:v>
      </x:c>
      <x:c r="F10" s="200" t="str">
        <x:v>multi-source development evidence only</x:v>
      </x:c>
      <x:c r="G10" s="114" t="str">
        <x:v>Participant-grouped train/selection protocol, fixed architecture, source-balanced losses, no-signal priors, and identity/corruption controls.</x:v>
      </x:c>
      <x:c r="H10" s="114" t="str">
        <x:v>Data: Authorized train and selection partitions from S21 plus the Loop 49 development participant; S25 remains unopened.
Controls:
- participant-grouped splits
- participant-balanced sampling
- source-only prior
- pooled prior
- zero signal
- participant-ID-only
- channel and time derangements</x:v>
      </x:c>
      <x:c r="I10" s="114" t="str">
        <x:v>- per-person macro CER
- worst-person CER
- pooled CER
- prior margins
- control margins
- parameter count
- training cost</x:v>
      </x:c>
      <x:c r="J10" s="114" t="str">
        <x:v>Accept: A single frozen candidate beats matched priors and corruptions on every development person without participant-conditioned architecture changes.
Kill/Park: If pooled gain hides a person-level loss or participant identity predicts targets, park transfer and do not open S25.</x:v>
      </x:c>
      <x:c r="K10" s="114" t="str">
        <x:v>Loops: 49</x:v>
      </x:c>
      <x:c r="L10" s="114" t="str">
        <x:v>Requires exact participant/split authorization and a frozen target-blind model-selection protocol.</x:v>
      </x:c>
      <x:c r="M10" s="114" t="str">
        <x:v>one thread; one worker; &lt;=10,000 parameters; &lt;=60 CPU minutes; &lt;=2 GiB RSS; &lt;=64 MiB generated</x:v>
      </x:c>
      <x:c r="N10" s="206" t="str">
        <x:v>planned_not_authorized</x:v>
      </x:c>
      <x:c r="O10" s="215" t="str">
        <x:v>Not Started</x:v>
      </x:c>
      <x:c r="P10" s="114" t="str">
        <x:v>https://facebookresearch.github.io/brain2qwerty/assets/brain2qwerty_v2.pdf
https://arxiv.org/abs/1606.05201
https://arxiv.org/abs/1803.09010</x:v>
      </x:c>
    </x:row>
    <x:row r="11" ht="174" customHeight="1">
      <x:c r="A11" s="191" t="n">
        <x:v>51</x:v>
      </x:c>
      <x:c r="B11" s="129" t="str">
        <x:v>P7 - Unseen-Person Verdict</x:v>
      </x:c>
      <x:c r="C11" s="194" t="str">
        <x:v>S25 Final-Only Freeze Packet</x:v>
      </x:c>
      <x:c r="D11" s="135" t="str">
        <x:v>P0</x:v>
      </x:c>
      <x:c r="E11" s="114" t="str">
        <x:v>Is every model, transform, comparator, threshold, prediction format, and decision rule frozen before any S25 payload or target opens?</x:v>
      </x:c>
      <x:c r="F11" s="200" t="str">
        <x:v>preregistration and target-isolation proof only</x:v>
      </x:c>
      <x:c r="G11" s="114" t="str">
        <x:v>Hash-bound model/checkpoint, source code, environment, exact S25 files/bytes, target isolation, control predictions, statistical rule, and one-time opening order.</x:v>
      </x:c>
      <x:c r="H11" s="114" t="str">
        <x:v>Data: Metadata and frozen source artifacts only; S25 FIF/MAT payload remains unopened during packet preparation.
Controls:
- zero candidate fit rows
- zero calibration rows
- &gt;=48 final rows
- 65,535 assignments plus observed
- no-signal prior
- zero signal
- channel derangement
- time displacement</x:v>
      </x:c>
      <x:c r="I11" s="114" t="str">
        <x:v>- commitment hashes
- unfrozen fields
- planned bytes
- predicted row count
- decision completeness
- authorization flags</x:v>
      </x:c>
      <x:c r="J11" s="114" t="str">
        <x:v>Accept: All execution inputs and claim rules are immutable, every target-free prediction path is ready, and independent review finds zero target-dependent choice.
Kill/Park: Any unfrozen model or target-dependent field keeps S25 sealed and returns the packet for versioned amendment.</x:v>
      </x:c>
      <x:c r="K11" s="114" t="str">
        <x:v>Loops: 50, 27, 28</x:v>
      </x:c>
      <x:c r="L11" s="114" t="str">
        <x:v>Packet preparation cannot authorize download, payload hashing, header read, prediction, target access, or final scoring.</x:v>
      </x:c>
      <x:c r="M11" s="114" t="str">
        <x:v>artifact-only; one thread; &lt;=10 minutes; &lt;=16 MiB generated; future S25 bundle exactly 1,009,939,983 bytes</x:v>
      </x:c>
      <x:c r="N11" s="206" t="str">
        <x:v>planned_not_authorized</x:v>
      </x:c>
      <x:c r="O11" s="215" t="str">
        <x:v>Not Started</x:v>
      </x:c>
      <x:c r="P11" s="114" t="str">
        <x:v>https://facebookresearch.github.io/brain2qwerty/assets/brain2qwerty_v2.pdf
https://arxiv.org/abs/1606.05201
https://arxiv.org/abs/1803.09010</x:v>
      </x:c>
    </x:row>
    <x:row r="12" ht="174" customHeight="1">
      <x:c r="A12" s="191" t="n">
        <x:v>52</x:v>
      </x:c>
      <x:c r="B12" s="129" t="str">
        <x:v>P7 - Unseen-Person Verdict</x:v>
      </x:c>
      <x:c r="C12" s="194" t="str">
        <x:v>S25 Strict Zero-Shot Verdict</x:v>
      </x:c>
      <x:c r="D12" s="135" t="str">
        <x:v>P0</x:v>
      </x:c>
      <x:c r="E12" s="114" t="str">
        <x:v>Does the frozen source-trained model show a qualifying neural advantage on one genuinely unseen person with zero target-person fitting?</x:v>
      </x:c>
      <x:c r="F12" s="200" t="str">
        <x:v>strict T2 unseen-person zero-shot neural advantage or an equally durable negative result</x:v>
      </x:c>
      <x:c r="G12" s="114" t="str">
        <x:v>Execute the Loop 51 order once, retain every prediction and control commitment, open final targets once, and publish the exact pass/fail verdict.</x:v>
      </x:c>
      <x:c r="H12" s="114" t="str">
        <x:v>Data: Pinned S25 session 2 block 2 final-only pair; zero fit/calibration/selection rows.
Controls:
- frozen source-train-only prior
- zero signal
- channel derangement
- time displacement
- target-free access ledger
- no rerun or threshold change</x:v>
      </x:c>
      <x:c r="I12" s="114" t="str">
        <x:v>- macro sentence CER
- corpus CER
- absolute prior margin
- 65,535 paired assignments plus observed
- control margins
- wins ties losses
- runtime RSS bytes</x:v>
      </x:c>
      <x:c r="J12" s="114" t="str">
        <x:v>Accept: &gt;=48 unique final rows, &gt;=0.05 absolute macro-CER improvement over prior, p &lt;=0.05, and strict wins over zero-signal, channel-deranged, and time-displaced controls.
Kill/Park: Any failed gate records a negative zero-shot result; S25 becomes consumed and can never become calibration or development data.</x:v>
      </x:c>
      <x:c r="K12" s="114" t="str">
        <x:v>Loops: 51</x:v>
      </x:c>
      <x:c r="L12" s="114" t="str">
        <x:v>Requires separate acquisition and final-opening authorizations after a green freeze packet; this roadmap authorizes neither.</x:v>
      </x:c>
      <x:c r="M12" s="114" t="str">
        <x:v>one thread; one worker; exact 1,009,939,983-byte acquisition cap; &lt;=30 inference minutes; &lt;=2 GiB RSS; &lt;=64 MiB generated</x:v>
      </x:c>
      <x:c r="N12" s="206" t="str">
        <x:v>planned_not_authorized</x:v>
      </x:c>
      <x:c r="O12" s="215" t="str">
        <x:v>Not Started</x:v>
      </x:c>
      <x:c r="P12" s="114" t="str">
        <x:v>https://facebookresearch.github.io/brain2qwerty/assets/brain2qwerty_v2.pdf
https://arxiv.org/abs/1606.05201
https://arxiv.org/abs/1803.09010</x:v>
      </x:c>
    </x:row>
    <x:row r="13" ht="174" customHeight="1">
      <x:c r="A13" s="191" t="n">
        <x:v>53</x:v>
      </x:c>
      <x:c r="B13" s="129" t="str">
        <x:v>P8 - Accessible EEG Evidence</x:v>
      </x:c>
      <x:c r="C13" s="194" t="str">
        <x:v>Fresh S20 EEG Acquisition Gate</x:v>
      </x:c>
      <x:c r="D13" s="135" t="str">
        <x:v>P1</x:v>
      </x:c>
      <x:c r="E13" s="114" t="str">
        <x:v>Can the selected S20 EEG bundle be acquired and validated as a fresh accessible-modality cohort under strict byte and license caps?</x:v>
      </x:c>
      <x:c r="F13" s="200" t="str">
        <x:v>fresh EEG mechanics only</x:v>
      </x:c>
      <x:c r="G13" s="114" t="str">
        <x:v>Exact metadata, dry-run, checksum, complete BrainVision triplet/log acquisition, header audit, and no-target-open cache plan.</x:v>
      </x:c>
      <x:c r="H13" s="114" t="str">
        <x:v>Data: Previously selected S20 EEG bundle, approximately 96 MB within the combined S20 plus S25 1,106,030,247-byte plan.
Controls:
- complete triplet
- single participant
- task match
- license boundary
- exact bytes
- no S7 reuse
- no signal or target read before authorization</x:v>
      </x:c>
      <x:c r="I13" s="114" t="str">
        <x:v>- files
- bytes
- checksums
- channels
- sampling rate
- events planned
- license
- access counters</x:v>
      </x:c>
      <x:c r="J13" s="114" t="str">
        <x:v>Accept: Exact files and checksums match the preregistration, the complete bundle stays within cap, and no unauthorized target or signal access occurs.
Kill/Park: Any missing companion, identity ambiguity, or byte/license mismatch parks acquisition without substituting S7 or another person.</x:v>
      </x:c>
      <x:c r="K13" s="114" t="str">
        <x:v>Loops: 29</x:v>
      </x:c>
      <x:c r="L13" s="114" t="str">
        <x:v>The user's storage allowance is not execute permission; acquisition needs exact --execute authorization.</x:v>
      </x:c>
      <x:c r="M13" s="114" t="str">
        <x:v>preferred exact selected bundle; cumulative new data &lt;=5 GB preferred and &lt;=10 GB absolute; one worker</x:v>
      </x:c>
      <x:c r="N13" s="206" t="str">
        <x:v>planned_not_authorized</x:v>
      </x:c>
      <x:c r="O13" s="215" t="str">
        <x:v>Not Started</x:v>
      </x:c>
      <x:c r="P13" s="114" t="str">
        <x:v>https://arxiv.org/abs/2502.17480
https://pubmed.ncbi.nlm.nih.gov/17169606/
https://arxiv.org/abs/1803.09010</x:v>
      </x:c>
    </x:row>
    <x:row r="14" ht="174" customHeight="1">
      <x:c r="A14" s="191" t="n">
        <x:v>54</x:v>
      </x:c>
      <x:c r="B14" s="129" t="str">
        <x:v>P8 - Accessible EEG Evidence</x:v>
      </x:c>
      <x:c r="C14" s="194" t="str">
        <x:v>EEG Trial Geometry And Confound Ledger</x:v>
      </x:c>
      <x:c r="D14" s="135" t="str">
        <x:v>P1</x:v>
      </x:c>
      <x:c r="E14" s="114" t="str">
        <x:v>Does fresh S20 EEG have exact trial identity, geometry/reference metadata, and enough peripheral-control evidence for a bounded classifier claim?</x:v>
      </x:c>
      <x:c r="F14" s="200" t="str">
        <x:v>EEG identity and confound qualification</x:v>
      </x:c>
      <x:c r="G14" s="114" t="str">
        <x:v>Trial map, channel/geometry/reference ledger, event timing, quality summaries, EOG/EMG/motion availability, and fail-closed claim ceiling.</x:v>
      </x:c>
      <x:c r="H14" s="114" t="str">
        <x:v>Data: Authorized S20 headers and then signal/target members in a separately ordered pass; no S7 reopening.
Controls:
- event-log identity
- channel units
- reference state
- bad/missing channels
- EOG and EMG availability
- keypress timing
- target isolation</x:v>
      </x:c>
      <x:c r="I14" s="114" t="str">
        <x:v>- trials reconciled
- channels qualified
- geometry coverage
- reference known
- peripheral streams available
- quality flags
- usable-row floor</x:v>
      </x:c>
      <x:c r="J14" s="114" t="str">
        <x:v>Accept: &gt;=48 unique trials have exact identity and every geometry/reference/confound field is known or explicitly unavailable with a bounded claim ceiling.
Kill/Park: Missing peripheral controls block brain-specific attribution but may allow a narrower sensor-signal dependence test if preregistered.</x:v>
      </x:c>
      <x:c r="K14" s="114" t="str">
        <x:v>Loops: 53, 35, 36</x:v>
      </x:c>
      <x:c r="L14" s="114" t="str">
        <x:v>Header, signal, and target stages remain separate authorizations.</x:v>
      </x:c>
      <x:c r="M14" s="114" t="str">
        <x:v>one thread; one worker; no new download; &lt;=1 GiB RSS; &lt;=32 MiB generated</x:v>
      </x:c>
      <x:c r="N14" s="206" t="str">
        <x:v>planned_not_authorized</x:v>
      </x:c>
      <x:c r="O14" s="215" t="str">
        <x:v>Not Started</x:v>
      </x:c>
      <x:c r="P14" s="114" t="str">
        <x:v>https://arxiv.org/abs/2502.17480
https://pubmed.ncbi.nlm.nih.gov/17169606/
https://arxiv.org/abs/1803.09010</x:v>
      </x:c>
    </x:row>
    <x:row r="15" ht="174" customHeight="1">
      <x:c r="A15" s="191" t="n">
        <x:v>55</x:v>
      </x:c>
      <x:c r="B15" s="129" t="str">
        <x:v>P8 - Accessible EEG Evidence</x:v>
      </x:c>
      <x:c r="C15" s="194" t="str">
        <x:v>Fresh EEG Neural-Effect Gate</x:v>
      </x:c>
      <x:c r="D15" s="135" t="str">
        <x:v>P1</x:v>
      </x:c>
      <x:c r="E15" s="114" t="str">
        <x:v>Can a tiny EEG model beat train-only priors and task-locked artifact controls on fresh S20 without borrowing a MEG claim?</x:v>
      </x:c>
      <x:c r="F15" s="200" t="str">
        <x:v>bounded within-person EEG sensor-signal advantage</x:v>
      </x:c>
      <x:c r="G15" s="114" t="str">
        <x:v>Participant-local split, tiny causal and linear models, no-signal priors, peripheral/corruption controls, exact uncertainty, and immutable report.</x:v>
      </x:c>
      <x:c r="H15" s="114" t="str">
        <x:v>Data: Fresh S20 only under the Loop 54 claim ceiling; S7 stays consumed and excluded from selection.
Controls:
- train-only prior
- zero signal
- time displacement
- channel derangement
- keypress timing only
- available EOG/EMG controls
- linear comparator</x:v>
      </x:c>
      <x:c r="I15" s="114" t="str">
        <x:v>- macro CER or exact key accuracy
- prior margin
- control margins
- paired inference
- worst-class recall
- runtime and RSS</x:v>
      </x:c>
      <x:c r="J15" s="114" t="str">
        <x:v>Accept: The frozen neural model beats the no-signal prior and every available task-locked/peripheral control under a preregistered paired rule.
Kill/Park: If unavailable peripheral controls could explain the effect, cap the claim at sensor dependence and do not call it brain-specific or home-ready.</x:v>
      </x:c>
      <x:c r="K15" s="114" t="str">
        <x:v>Loops: 54</x:v>
      </x:c>
      <x:c r="L15" s="114" t="str">
        <x:v>Requires a fresh preregistration and exact training/target authorization; no EEG model run is authorized now.</x:v>
      </x:c>
      <x:c r="M15" s="114" t="str">
        <x:v>one thread; one worker; &lt;=10,000 parameters; &lt;=45 CPU minutes; &lt;=1 GiB RSS; &lt;=64 MiB generated</x:v>
      </x:c>
      <x:c r="N15" s="206" t="str">
        <x:v>planned_not_authorized</x:v>
      </x:c>
      <x:c r="O15" s="215" t="str">
        <x:v>Not Started</x:v>
      </x:c>
      <x:c r="P15" s="114" t="str">
        <x:v>https://arxiv.org/abs/2502.17480
https://pubmed.ncbi.nlm.nih.gov/17169606/
https://arxiv.org/abs/1803.09010</x:v>
      </x:c>
    </x:row>
    <x:row r="16" ht="174" customHeight="1">
      <x:c r="A16" s="191" t="n">
        <x:v>56</x:v>
      </x:c>
      <x:c r="B16" s="129" t="str">
        <x:v>P8 - Accessible EEG Evidence</x:v>
      </x:c>
      <x:c r="C16" s="194" t="str">
        <x:v>Cross-Modality Accessibility Verdict</x:v>
      </x:c>
      <x:c r="D16" s="135" t="str">
        <x:v>P1</x:v>
      </x:c>
      <x:c r="E16" s="114" t="str">
        <x:v>What capability survives from cryogenic MEG to scalp EEG, and what must remain modality-specific?</x:v>
      </x:c>
      <x:c r="F16" s="200" t="str">
        <x:v>qualified cross-modality boundary, not equivalence</x:v>
      </x:c>
      <x:c r="G16" s="114" t="str">
        <x:v>Matched requirement matrix for identity, timing, geometry, preprocessing, signal effect, controls, resources, and user burden.</x:v>
      </x:c>
      <x:c r="H16" s="114" t="str">
        <x:v>Data: Closed aggregate Loop 46-55 reports only; no pooled MEG/EEG training or new payload access.
Controls:
- same claim vocabulary
- modality-specific baselines
- no score pooling
- no channel equivalence
- no device extrapolation
- negative result retention</x:v>
      </x:c>
      <x:c r="I16" s="114" t="str">
        <x:v>- requirements passed per modality
- claim overlap
- unavailable fields
- resource ratio
- candidate home prerequisites</x:v>
      </x:c>
      <x:c r="J16" s="114" t="str">
        <x:v>Accept: Every cross-modality statement identifies the exact shared interface and the nontransferable acquisition/scientific assumptions.
Kill/Park: If only mechanics transfer, publish mechanics only and keep decoding/home claims unavailable.</x:v>
      </x:c>
      <x:c r="K16" s="114" t="str">
        <x:v>Loops: 55</x:v>
      </x:c>
      <x:c r="L16" s="114" t="str">
        <x:v>No new data, model, device, or home-use operation is authorized.</x:v>
      </x:c>
      <x:c r="M16" s="114" t="str">
        <x:v>artifact-only; one thread; &lt;=10 minutes; &lt;=16 MiB generated</x:v>
      </x:c>
      <x:c r="N16" s="206" t="str">
        <x:v>planned_not_authorized</x:v>
      </x:c>
      <x:c r="O16" s="215" t="str">
        <x:v>Not Started</x:v>
      </x:c>
      <x:c r="P16" s="114" t="str">
        <x:v>https://arxiv.org/abs/2502.17480
https://pubmed.ncbi.nlm.nih.gov/17169606/
https://arxiv.org/abs/1803.09010</x:v>
      </x:c>
    </x:row>
    <x:row r="17" ht="174" customHeight="1">
      <x:c r="A17" s="191" t="n">
        <x:v>57</x:v>
      </x:c>
      <x:c r="B17" s="129" t="str">
        <x:v>P9 - Causal Local Use</x:v>
      </x:c>
      <x:c r="C17" s="194" t="str">
        <x:v>Train-Stream Causal Parity</x:v>
      </x:c>
      <x:c r="D17" s="135" t="str">
        <x:v>P1</x:v>
      </x:c>
      <x:c r="E17" s="114" t="str">
        <x:v>Does the exact trained preprocessing and encoder path produce semantically identical frames offline and incrementally?</x:v>
      </x:c>
      <x:c r="F17" s="200" t="str">
        <x:v>causal implementation parity only</x:v>
      </x:c>
      <x:c r="G17" s="114" t="str">
        <x:v>Join qualified Loop 45 preprocessing, frozen encoder, NeuroToken state, decoder state, schedules, resumes, timestamps, and anomaly records.</x:v>
      </x:c>
      <x:c r="H17" s="114" t="str">
        <x:v>Data: Target-free fixtures first; later authorized source-validation replay only, never S25 or consumed cohorts.
Controls:
- whole item
- single sample
- boundary splits
- seeded irregular
- resume cuts
- future mutation
- state hash
- zero right context</x:v>
      </x:c>
      <x:c r="I17" s="114" t="str">
        <x:v>- frame identity
- timestamp identity
- decoder state identity
- revision trace
- right context
- runtime RSS bytes</x:v>
      </x:c>
      <x:c r="J17" s="114" t="str">
        <x:v>Accept: All registered schedules and resumes preserve semantic identity and declared causality within caps.
Kill/Park: Any hidden future context or state mismatch blocks streaming claims and returns to the smallest failed layer.</x:v>
      </x:c>
      <x:c r="K17" s="114" t="str">
        <x:v>Loops: 45, 47, 41</x:v>
      </x:c>
      <x:c r="L17" s="114" t="str">
        <x:v>Each fixture, model, replay cache, and integration stage requires separate authorization.</x:v>
      </x:c>
      <x:c r="M17" s="114" t="str">
        <x:v>one thread; one worker; &lt;=64 MiB generated; target-free first</x:v>
      </x:c>
      <x:c r="N17" s="206" t="str">
        <x:v>planned_not_authorized</x:v>
      </x:c>
      <x:c r="O17" s="215" t="str">
        <x:v>Not Started</x:v>
      </x:c>
      <x:c r="P17" s="114" t="str">
        <x:v>https://pubmed.ncbi.nlm.nih.gov/17169606/
https://doi.org/10.6028/NIST.AI.100-1
https://arxiv.org/abs/1810.03993</x:v>
      </x:c>
    </x:row>
    <x:row r="18" ht="174" customHeight="1">
      <x:c r="A18" s="191" t="n">
        <x:v>58</x:v>
      </x:c>
      <x:c r="B18" s="129" t="str">
        <x:v>P9 - Causal Local Use</x:v>
      </x:c>
      <x:c r="C18" s="194" t="str">
        <x:v>Local Capture And Device Mechanics</x:v>
      </x:c>
      <x:c r="D18" s="135" t="str">
        <x:v>P1</x:v>
      </x:c>
      <x:c r="E18" s="114" t="str">
        <x:v>Can one named local EEG device path preserve packets, clocks, channels, locality, anomalies, and privacy without claiming useful neural decoding?</x:v>
      </x:c>
      <x:c r="F18" s="200" t="str">
        <x:v>device mechanics only</x:v>
      </x:c>
      <x:c r="G18" s="114" t="str">
        <x:v>Execute staged OpenBCI Cyton synthetic/playback, no-contact bench, and only later separately consented scalp mechanics under Loop 42/RW3 contracts.</x:v>
      </x:c>
      <x:c r="H18" s="114" t="str">
        <x:v>Data: Synthetic and playback first; no-contact battery bench second; participant stage separate and optional.
Controls:
- packet counter
- host timestamp separation
- network-off audit
- battery-only body stage
- no Daisy or Wi-Fi substitution
- raw/derived lifecycle inventory</x:v>
      </x:c>
      <x:c r="I18" s="114" t="str">
        <x:v>- packet loss and reorder
- clock observables
- channel identity
- anomalies
- local writes
- network endpoints
- resource use</x:v>
      </x:c>
      <x:c r="J18" s="114" t="str">
        <x:v>Accept: The exact named stage passes identity, timing, locality, privacy, safety, and resource gates; claims stop at that stage.
Kill/Park: A failed stage parks the exact device/transport configuration without substitution or promotion to EEG quality or decoding.</x:v>
      </x:c>
      <x:c r="K18" s="114" t="str">
        <x:v>Loops: 42, 38, 41</x:v>
      </x:c>
      <x:c r="L18" s="114" t="str">
        <x:v>No purchase, SDK, serial, board, participant, recording, or hardware operation is authorized by this roadmap.</x:v>
      </x:c>
      <x:c r="M18" s="114" t="str">
        <x:v>one device maximum; battery-only participant stage; zero cloud; &lt;=64 MiB generated excluding separately governed raw capture</x:v>
      </x:c>
      <x:c r="N18" s="206" t="str">
        <x:v>planned_not_authorized</x:v>
      </x:c>
      <x:c r="O18" s="215" t="str">
        <x:v>Not Started</x:v>
      </x:c>
      <x:c r="P18" s="114" t="str">
        <x:v>https://pubmed.ncbi.nlm.nih.gov/17169606/
https://doi.org/10.6028/NIST.AI.100-1
https://arxiv.org/abs/1810.03993</x:v>
      </x:c>
    </x:row>
    <x:row r="19" ht="174" customHeight="1">
      <x:c r="A19" s="191" t="n">
        <x:v>59</x:v>
      </x:c>
      <x:c r="B19" s="129" t="str">
        <x:v>P9 - Causal Local Use</x:v>
      </x:c>
      <x:c r="C19" s="194" t="str">
        <x:v>End-To-End Latency And Stability Gate</x:v>
      </x:c>
      <x:c r="D19" s="135" t="str">
        <x:v>P1</x:v>
      </x:c>
      <x:c r="E19" s="114" t="str">
        <x:v>What latency, revision, stability, and abstention behavior is measured from an instrumented source event to final text?</x:v>
      </x:c>
      <x:c r="F19" s="200" t="str">
        <x:v>bounded system latency and stability, separate from accuracy</x:v>
      </x:c>
      <x:c r="G19" s="114" t="str">
        <x:v>Common-clock markers, source-arrival/preprocess/frame/decode/render timestamps, partial hypotheses, finalization, abstention, and anomaly trace.</x:v>
      </x:c>
      <x:c r="H19" s="114" t="str">
        <x:v>Data: Target-free replay first; any neural replay/live stage uses only separately authorized nonfinal data and frozen models.
Controls:
- common-clock event
- replay-vs-live label
- cold and warm runs
- stall/drop/reorder fixtures
- no confidence when unavailable
- no network</x:v>
      </x:c>
      <x:c r="I19" s="114" t="str">
        <x:v>- capture-to-arrival
- arrival-to-frame
- frame-to-decode
- decode-to-render
- end-to-end
- revision count
- finalization delay
- abstention coverage</x:v>
      </x:c>
      <x:c r="J19" s="114" t="str">
        <x:v>Accept: Every latency claim has a named clock domain and measured endpoints; p50/p95/max and failure traces meet preregistered local caps.
Kill/Park: Replay scheduling cannot substitute for capture latency; unavailable clock links keep end-to-end latency unavailable.</x:v>
      </x:c>
      <x:c r="K19" s="114" t="str">
        <x:v>Loops: 57, 58, 34</x:v>
      </x:c>
      <x:c r="L19" s="114" t="str">
        <x:v>UI, server, browser, stream, device, neural model, and participant stages remain separately authorized.</x:v>
      </x:c>
      <x:c r="M19" s="114" t="str">
        <x:v>loopback-only by default; one thread; one worker; &lt;=64 MiB generated; no cloud</x:v>
      </x:c>
      <x:c r="N19" s="206" t="str">
        <x:v>planned_not_authorized</x:v>
      </x:c>
      <x:c r="O19" s="215" t="str">
        <x:v>Not Started</x:v>
      </x:c>
      <x:c r="P19" s="114" t="str">
        <x:v>https://pubmed.ncbi.nlm.nih.gov/17169606/
https://doi.org/10.6028/NIST.AI.100-1
https://arxiv.org/abs/1810.03993</x:v>
      </x:c>
    </x:row>
    <x:row r="20" ht="174" customHeight="1">
      <x:c r="A20" s="191" t="n">
        <x:v>60</x:v>
      </x:c>
      <x:c r="B20" s="129" t="str">
        <x:v>P9 - Causal Local Use</x:v>
      </x:c>
      <x:c r="C20" s="194" t="str">
        <x:v>At-Home EEG Feasibility Pilot</x:v>
      </x:c>
      <x:c r="D20" s="135" t="str">
        <x:v>P1</x:v>
      </x:c>
      <x:c r="E20" s="114" t="str">
        <x:v>Can one consented person complete a battery-only, local-only, repeatable EEG mechanics session at home with acceptable setup burden and signal quality?</x:v>
      </x:c>
      <x:c r="F20" s="200" t="str">
        <x:v>at-home acquisition feasibility only, never home text decoding by default</x:v>
      </x:c>
      <x:c r="G20" s="114" t="str">
        <x:v>Consent/safety protocol, setup checklist, impedance/reference/geometry record, local privacy inventory, repeated short sessions, and usability burden report.</x:v>
      </x:c>
      <x:c r="H20" s="114" t="str">
        <x:v>Data: One separately consented participant, minimal nonlinguistic calibration tasks first; no arbitrary thought or clinical task.
Controls:
- battery-only
- no charging or mains contact
- network off
- local encrypted storage
- EOG/EMG/motion controls
- stop criteria
- no target text upload</x:v>
      </x:c>
      <x:c r="I20" s="114" t="str">
        <x:v>- setup time
- successful channel fraction
- artifact burden
- repeat-session identity
- participant burden
- local bytes
- privacy findings
- adverse events</x:v>
      </x:c>
      <x:c r="J20" s="114" t="str">
        <x:v>Accept: The exact acquisition protocol is safe, repeatable, local, privacy-audited, and meets preregistered quality/usability floors.
Kill/Park: Any safety, consent, privacy, setup, or quality failure stops the pilot; acquisition feasibility cannot be relabeled decoding.</x:v>
      </x:c>
      <x:c r="K20" s="114" t="str">
        <x:v>Loops: 56, 58, 35, 36, 38</x:v>
      </x:c>
      <x:c r="L20" s="114" t="str">
        <x:v>Requires explicit participant, consent, safety, device, recording, retention, and deletion authorization; none exists now.</x:v>
      </x:c>
      <x:c r="M20" s="114" t="str">
        <x:v>one participant; one named device; battery-only; no cloud; bounded local retention; no new device purchase without separate decision</x:v>
      </x:c>
      <x:c r="N20" s="206" t="str">
        <x:v>planned_not_authorized</x:v>
      </x:c>
      <x:c r="O20" s="215" t="str">
        <x:v>Not Started</x:v>
      </x:c>
      <x:c r="P20" s="114" t="str">
        <x:v>https://pubmed.ncbi.nlm.nih.gov/17169606/
https://doi.org/10.6028/NIST.AI.100-1
https://arxiv.org/abs/1810.03993</x:v>
      </x:c>
    </x:row>
    <x:row r="21" ht="174" customHeight="1">
      <x:c r="A21" s="191" t="n">
        <x:v>61</x:v>
      </x:c>
      <x:c r="B21" s="129" t="str">
        <x:v>P10 - Independent Evidence And Release</x:v>
      </x:c>
      <x:c r="C21" s="194" t="str">
        <x:v>Versioned Reproducible Artifact</x:v>
      </x:c>
      <x:c r="D21" s="135" t="str">
        <x:v>P1</x:v>
      </x:c>
      <x:c r="E21" s="114" t="str">
        <x:v>Can the supported target-free and aggregate-evidence surfaces become one exact, privacy-qualified, cross-machine release candidate?</x:v>
      </x:c>
      <x:c r="F21" s="200" t="str">
        <x:v>versioned software reproducibility</x:v>
      </x:c>
      <x:c r="G21" s="114" t="str">
        <x:v>Execute Loop 37-39 gates, freeze package/environment/manifests, run supported OS/Python matrix, and produce a no-payload release candidate.</x:v>
      </x:c>
      <x:c r="H21" s="114" t="str">
        <x:v>Data: Public source, target-free fixtures, aggregate reports, and nonstandard payload labels only; no participant payload or prediction rows.
Controls:
- tracked-history scan
- secret scan
- privacy lifecycle
- semantic manifests
- field-specific tolerances
- built-package install
- cross-machine matrix</x:v>
      </x:c>
      <x:c r="I21" s="114" t="str">
        <x:v>- matrix cells passed
- semantic identity
- numerical tolerance
- install success
- tests
- runtime RSS bytes
- privacy/license blockers</x:v>
      </x:c>
      <x:c r="J21" s="114" t="str">
        <x:v>Accept: Every required matrix cell, privacy/license gate, and exact candidate check passes with zero protected payload.
Kill/Park: Any unresolved privacy, license, semantic, or supported-environment mismatch holds the candidate.</x:v>
      </x:c>
      <x:c r="K21" s="114" t="str">
        <x:v>Loops: 37, 38, 39, 56, 59</x:v>
      </x:c>
      <x:c r="L21" s="114" t="str">
        <x:v>Package, CI expansion, public artifact, tag, archive, and release each require a separate authorization decision.</x:v>
      </x:c>
      <x:c r="M21" s="114" t="str">
        <x:v>public fixtures only; &lt;=128 MiB release candidate; bounded CI matrix; no protected payload</x:v>
      </x:c>
      <x:c r="N21" s="206" t="str">
        <x:v>planned_not_authorized</x:v>
      </x:c>
      <x:c r="O21" s="215" t="str">
        <x:v>Not Started</x:v>
      </x:c>
      <x:c r="P21" s="114" t="str">
        <x:v>https://doi.org/10.15497/RDA00068
https://www.acm.org/publications/policies/artifact-review-and-badging-current
https://arxiv.org/abs/1810.03993
https://doi.org/10.6028/NIST.AI.100-1</x:v>
      </x:c>
    </x:row>
    <x:row r="22" ht="174" customHeight="1">
      <x:c r="A22" s="191" t="n">
        <x:v>62</x:v>
      </x:c>
      <x:c r="B22" s="129" t="str">
        <x:v>P10 - Independent Evidence And Release</x:v>
      </x:c>
      <x:c r="C22" s="194" t="str">
        <x:v>Independent Artifact Reproduction</x:v>
      </x:c>
      <x:c r="D22" s="135" t="str">
        <x:v>P1</x:v>
      </x:c>
      <x:c r="E22" s="114" t="str">
        <x:v>Can one independent contributor reproduce the exact released target-free artifact without private maintainer state?</x:v>
      </x:c>
      <x:c r="F22" s="200" t="str">
        <x:v>independent author-artifact reproduction only</x:v>
      </x:c>
      <x:c r="G22" s="114" t="str">
        <x:v>Execute Loop 43 commit-reveal packet, public communication, frozen submission, oracle reveal, discrepancy adjudication, and credit record.</x:v>
      </x:c>
      <x:c r="H22" s="114" t="str">
        <x:v>Data: Target-free public release artifact only; no contributor neural recording or protected data.
Controls:
- independence disclosure
- public-only help
- unprivileged fork
- no secrets
- submission freeze before oracle
- record dont fix
- negative outcomes retained</x:v>
      </x:c>
      <x:c r="I22" s="114" t="str">
        <x:v>- outcome class
- semantic comparisons
- numerical comparisons
- manual steps
- runtime RSS bytes
- discrepancies
- independence fields</x:v>
      </x:c>
      <x:c r="J22" s="114" t="str">
        <x:v>Accept: One eligible external submission passes registered identity/comparison gates and independent adjudication.
Kill/Park: Private guidance, order violation, security/privacy failure, or mutable repair invalidates the run but preserves the record.</x:v>
      </x:c>
      <x:c r="K22" s="114" t="str">
        <x:v>Loops: 61, 43</x:v>
      </x:c>
      <x:c r="L22" s="114" t="str">
        <x:v>Outreach, contributor contact, artifact exchange, adjudication, credit, and publication require separate authorization.</x:v>
      </x:c>
      <x:c r="M22" s="114" t="str">
        <x:v>public artifact &lt;=128 MiB; no protected data; no privileged CI; one external submission</x:v>
      </x:c>
      <x:c r="N22" s="206" t="str">
        <x:v>planned_not_authorized</x:v>
      </x:c>
      <x:c r="O22" s="215" t="str">
        <x:v>Not Started</x:v>
      </x:c>
      <x:c r="P22" s="114" t="str">
        <x:v>https://doi.org/10.15497/RDA00068
https://www.acm.org/publications/policies/artifact-review-and-badging-current
https://arxiv.org/abs/1810.03993
https://doi.org/10.6028/NIST.AI.100-1</x:v>
      </x:c>
    </x:row>
    <x:row r="23" ht="174" customHeight="1">
      <x:c r="A23" s="191" t="n">
        <x:v>63</x:v>
      </x:c>
      <x:c r="B23" s="129" t="str">
        <x:v>P10 - Independent Evidence And Release</x:v>
      </x:c>
      <x:c r="C23" s="194" t="str">
        <x:v>Independent Scientific Replication Packet</x:v>
      </x:c>
      <x:c r="D23" s="135" t="str">
        <x:v>P2</x:v>
      </x:c>
      <x:c r="E23" s="114" t="str">
        <x:v>Can a genuinely independent team test the neural-effect protocol with independently implemented analysis and qualifying new data?</x:v>
      </x:c>
      <x:c r="F23" s="200" t="str">
        <x:v>independent scientific replication</x:v>
      </x:c>
      <x:c r="G23" s="114" t="str">
        <x:v>Public protocol, minimal sufficient aggregate evidence, independent implementation boundary, new-data requirements, preregistered comparators, and discrepancy taxonomy.</x:v>
      </x:c>
      <x:c r="H23" s="114" t="str">
        <x:v>Data: No local protected payload transfer; future partner uses independently governed qualifying data or separately licensed public data.
Controls:
- independent implementation
- new participant evidence
- no hidden oracle sharing
- same no-signal controls
- peripheral controls
- negative result publication
- credit and governance</x:v>
      </x:c>
      <x:c r="I23" s="114" t="str">
        <x:v>- independence qualification
- protocol fidelity
- effect direction and magnitude
- paired uncertainty
- control results
- deviations
- data governance</x:v>
      </x:c>
      <x:c r="J23" s="114" t="str">
        <x:v>Accept: An external protocol is sufficiently independent, powered, governed, and comparator-complete to test the same bounded scientific claim.
Kill/Park: Author-artifact reruns, shared participants, undisclosed assistance, or missing controls remain reproduction or assistance, not replication.</x:v>
      </x:c>
      <x:c r="K23" s="114" t="str">
        <x:v>Loops: 52, 55, 62</x:v>
      </x:c>
      <x:c r="L23" s="114" t="str">
        <x:v>Partner outreach, protocol publication, data exchange, and execution each require separate governance and authorization.</x:v>
      </x:c>
      <x:c r="M23" s="114" t="str">
        <x:v>planning artifacts &lt;=16 MiB locally; external resources separately governed; zero participant payload exchange by default</x:v>
      </x:c>
      <x:c r="N23" s="206" t="str">
        <x:v>planned_not_authorized</x:v>
      </x:c>
      <x:c r="O23" s="215" t="str">
        <x:v>Not Started</x:v>
      </x:c>
      <x:c r="P23" s="114" t="str">
        <x:v>https://doi.org/10.15497/RDA00068
https://www.acm.org/publications/policies/artifact-review-and-badging-current
https://arxiv.org/abs/1810.03993
https://doi.org/10.6028/NIST.AI.100-1</x:v>
      </x:c>
    </x:row>
    <x:row r="24" ht="174" customHeight="1">
      <x:c r="A24" s="192" t="n">
        <x:v>64</x:v>
      </x:c>
      <x:c r="B24" s="130" t="str">
        <x:v>P10 - Independent Evidence And Release</x:v>
      </x:c>
      <x:c r="C24" s="195" t="str">
        <x:v>Scientific Claim Promotion And Release v1</x:v>
      </x:c>
      <x:c r="D24" s="136" t="str">
        <x:v>P0</x:v>
      </x:c>
      <x:c r="E24" s="115" t="str">
        <x:v>Which engineering, neural-effect, transfer, EEG, streaming, home, reproduction, and replication claims have actually earned promotion?</x:v>
      </x:c>
      <x:c r="F24" s="201" t="str">
        <x:v>evidence-limited public release decision</x:v>
      </x:c>
      <x:c r="G24" s="115" t="str">
        <x:v>Versioned successor to the Loop 44 matrix, model/dataset cards, claim diff, risk register, release notes, archive decision, and proceed/park/kill ledger.</x:v>
      </x:c>
      <x:c r="H24" s="115" t="str">
        <x:v>Data: Closed aggregate and artifact evidence from authorized Loops 45-63 only; no new experiment.
Controls:
- claim-to-evidence binding
- negative results visible
- engineering/science separate
- cohort and modality ceilings
- privacy and license
- independent evidence labels
- clinical claims prohibited without clinical evidence</x:v>
      </x:c>
      <x:c r="I24" s="115" t="str">
        <x:v>- claims promoted parked prohibited unavailable
- evidence completeness
- release gates
- risk status
- tests and CI
- archive identity</x:v>
      </x:c>
      <x:c r="J24" s="115" t="str">
        <x:v>Accept: Release only exact claims whose evidence, comparators, uncertainty, privacy, license, reproducibility, and governance gates pass.
Kill/Park: Hold the release rather than soften a failed scientific or governance gate.</x:v>
      </x:c>
      <x:c r="K24" s="115" t="str">
        <x:v>Loops: 61, 62, 63</x:v>
      </x:c>
      <x:c r="L24" s="115" t="str">
        <x:v>Claim review cannot retroactively authorize experiments; tag, release, archive, DOI, and public claims require a separate maintainer decision.</x:v>
      </x:c>
      <x:c r="M24" s="115" t="str">
        <x:v>artifact-only; one thread; &lt;=32 MiB generated; zero new data/model/device operations</x:v>
      </x:c>
      <x:c r="N24" s="207" t="str">
        <x:v>planned_not_authorized</x:v>
      </x:c>
      <x:c r="O24" s="216" t="str">
        <x:v>Not Started</x:v>
      </x:c>
      <x:c r="P24" s="115" t="str">
        <x:v>https://doi.org/10.15497/RDA00068
https://www.acm.org/publications/policies/artifact-review-and-badging-current
https://arxiv.org/abs/1810.03993
https://doi.org/10.6028/NIST.AI.100-1</x:v>
      </x:c>
    </x:row>
  </x:sheetData>
  <x:mergeCells>
    <x:mergeCell ref="A1:P1"/>
    <x:mergeCell ref="A2:P2"/>
    <x:mergeCell ref="A3:P3"/>
  </x:mergeCells>
  <x:dataValidations count="3">
    <x:dataValidation type="list" sqref="O5:O24">
      <x:formula1>"Not Started,In Progress,Review,Blocked,Done,Parked"</x:formula1>
    </x:dataValidation>
    <x:dataValidation type="list" sqref="D5:D24">
      <x:formula1>"P0,P1,P2,P3"</x:formula1>
    </x:dataValidation>
    <x:dataValidation type="list" sqref="O5">
      <x:formula1>"Not Started,In Progress,Review,Blocked,Complete,Parked"</x:formula1>
    </x:dataValidation>
  </x:dataValidations>
  <x:pageMargins left="0.7" right="0.7" top="0.75" bottom="0.75" header="0.3" footer="0.3"/>
  <x:tableParts count="1">
    <x:tablePart xmlns:r="http://schemas.openxmlformats.org/officeDocument/2006/relationships" r:id="Rdd872a93ec36420b"/>
  </x:tableParts>
</x:worksheet>
</file>