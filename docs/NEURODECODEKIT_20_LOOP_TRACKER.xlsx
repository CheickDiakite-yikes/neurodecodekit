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tables/table5.xml" ContentType="application/vnd.openxmlformats-officedocument.spreadsheetml.table+xml"/>
  <Override PartName="/xl/worksheets/sheet9.xml" ContentType="application/vnd.openxmlformats-officedocument.spreadsheetml.worksheet+xml"/>
  <Override PartName="/xl/tables/table6.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a6001bfab8d04be7" /></Relationships>
</file>

<file path=xl/workbook.xml><?xml version="1.0" encoding="utf-8"?>
<x:workbook xmlns:x="http://schemas.openxmlformats.org/spreadsheetml/2006/main">
  <x:sheets>
    <x:sheet xmlns:r="http://schemas.openxmlformats.org/officeDocument/2006/relationships" name="Dashboard" sheetId="1" r:id="R1c10f44730d14172"/>
    <x:sheet xmlns:r="http://schemas.openxmlformats.org/officeDocument/2006/relationships" name="Loop Tracker" sheetId="2" r:id="Rb3108f2fab3b445f"/>
    <x:sheet xmlns:r="http://schemas.openxmlformats.org/officeDocument/2006/relationships" name="Decision Log" sheetId="3" r:id="R4978b5026cdc4ebc"/>
    <x:sheet xmlns:r="http://schemas.openxmlformats.org/officeDocument/2006/relationships" name="Risk Register" sheetId="4" r:id="Rbcbfbf41ef4042f4"/>
    <x:sheet xmlns:r="http://schemas.openxmlformats.org/officeDocument/2006/relationships" name="Experiment Template" sheetId="5" r:id="R32eb57bae7924213"/>
    <x:sheet xmlns:r="http://schemas.openxmlformats.org/officeDocument/2006/relationships" name="Prompt Bank" sheetId="6" r:id="R1b25ae0d2b544cee"/>
    <x:sheet xmlns:r="http://schemas.openxmlformats.org/officeDocument/2006/relationships" name="Lists" sheetId="7" r:id="R0bfd1196c60c45e0"/>
    <x:sheet xmlns:r="http://schemas.openxmlformats.org/officeDocument/2006/relationships" name="Practice Track" sheetId="8" r:id="R48d63aa38eee4a64"/>
    <x:sheet xmlns:r="http://schemas.openxmlformats.org/officeDocument/2006/relationships" name="Loops 25-44" sheetId="9" r:id="R0cf975c8fe1149d8"/>
  </x:sheets>
</x:workbook>
</file>

<file path=xl/sharedStrings.xml><?xml version="1.0" encoding="utf-8"?>
<x:sst xmlns:x="http://schemas.openxmlformats.org/spreadsheetml/2006/main"/>
</file>

<file path=xl/styles.xml><?xml version="1.0" encoding="utf-8"?>
<x:styleSheet xmlns:x="http://schemas.openxmlformats.org/spreadsheetml/2006/main">
  <x:numFmts count="4">
    <x:numFmt numFmtId="200" formatCode="0%"/>
    <x:numFmt numFmtId="201" formatCode="yyyy-mm-dd"/>
    <x:numFmt numFmtId="202" formatCode="0.0%"/>
    <x:numFmt numFmtId="203" formatCode="0"/>
  </x:numFmts>
  <x:fonts count="20">
    <x:font>
      <x:sz val="11"/>
      <x:name val="Carlito"/>
    </x:font>
    <x:font>
      <x:b/>
      <x:sz val="11"/>
      <x:color rgb="FFFFFFFF"/>
      <x:name val="Carlito"/>
    </x:font>
    <x:font>
      <x:b/>
      <x:sz val="16"/>
      <x:color rgb="FFFFFFFF"/>
      <x:name val="Carlito"/>
    </x:font>
    <x:font>
      <x:sz val="11"/>
      <x:color rgb="FF7C2D12"/>
      <x:name val="Carlito"/>
    </x:font>
    <x:font>
      <x:b/>
      <x:sz val="18"/>
      <x:color rgb="FFFFFFFF"/>
      <x:name val="Carlito"/>
    </x:font>
    <x:font>
      <x:sz val="11"/>
      <x:color rgb="FF9A3412"/>
      <x:name val="Carlito"/>
    </x:font>
    <x:font>
      <x:sz val="10"/>
      <x:color rgb="FF1F2937"/>
      <x:name val="Carlito"/>
    </x:font>
    <x:font>
      <x:b/>
      <x:sz val="10"/>
      <x:color rgb="FF1F2937"/>
      <x:name val="Carlito"/>
    </x:font>
    <x:font>
      <x:b/>
      <x:sz val="10"/>
      <x:color rgb="FF1E3A8A"/>
      <x:name val="Carlito"/>
    </x:font>
    <x:font>
      <x:b/>
      <x:sz val="20"/>
      <x:color rgb="FFFFFFFF"/>
      <x:name val="Carlito"/>
    </x:font>
    <x:font>
      <x:sz val="11"/>
      <x:color rgb="FF16324F"/>
      <x:name val="Carlito"/>
    </x:font>
    <x:font>
      <x:b/>
      <x:sz val="10"/>
      <x:color rgb="FF455A64"/>
      <x:name val="Carlito"/>
    </x:font>
    <x:font>
      <x:b/>
      <x:sz val="10"/>
      <x:color rgb="FFFFFFFF"/>
      <x:name val="Carlito"/>
    </x:font>
    <x:font>
      <x:sz val="9"/>
      <x:color rgb="FF263238"/>
      <x:name val="Carlito"/>
    </x:font>
    <x:font>
      <x:b/>
      <x:sz val="11"/>
      <x:color rgb="FF16324F"/>
      <x:name val="Carlito"/>
    </x:font>
    <x:font>
      <x:b/>
      <x:sz val="9"/>
      <x:color rgb="FF276A73"/>
      <x:name val="Carlito"/>
    </x:font>
    <x:font>
      <x:b/>
      <x:sz val="9"/>
      <x:color rgb="FF8A4B08"/>
      <x:name val="Carlito"/>
    </x:font>
    <x:font>
      <x:sz val="9"/>
      <x:color rgb="FF6D4C00"/>
      <x:name val="Carlito"/>
    </x:font>
    <x:font>
      <x:b/>
      <x:sz val="9"/>
      <x:color rgb="FF7A1F1F"/>
      <x:name val="Carlito"/>
    </x:font>
    <x:font>
      <x:sz val="8"/>
      <x:color rgb="FF245C8A"/>
      <x:name val="Carlito"/>
    </x:font>
  </x:fonts>
  <x:fills count="24">
    <x:fill>
      <x:patternFill patternType="none"/>
    </x:fill>
    <x:fill>
      <x:patternFill patternType="gray125"/>
    </x:fill>
    <x:fill>
      <x:patternFill patternType="solid">
        <x:fgColor rgb="FF1F4E78"/>
      </x:patternFill>
    </x:fill>
    <x:fill>
      <x:patternFill patternType="solid">
        <x:fgColor rgb="FF111827"/>
      </x:patternFill>
    </x:fill>
    <x:fill>
      <x:patternFill patternType="solid">
        <x:fgColor rgb="FFFFF7ED"/>
      </x:patternFill>
    </x:fill>
    <x:fill>
      <x:patternFill patternType="solid">
        <x:fgColor rgb="FF111827"/>
      </x:patternFill>
    </x:fill>
    <x:fill>
      <x:patternFill patternType="solid">
        <x:fgColor rgb="FFFFF4E8"/>
      </x:patternFill>
    </x:fill>
    <x:fill>
      <x:patternFill patternType="solid">
        <x:fgColor rgb="FF245B85"/>
      </x:patternFill>
    </x:fill>
    <x:fill>
      <x:patternFill patternType="solid">
        <x:fgColor rgb="FFD9EEF7"/>
      </x:patternFill>
    </x:fill>
    <x:fill>
      <x:patternFill patternType="solid">
        <x:fgColor rgb="FFFFFFFF"/>
      </x:patternFill>
    </x:fill>
    <x:fill>
      <x:patternFill patternType="solid">
        <x:fgColor rgb="FFD1FAE5"/>
      </x:patternFill>
    </x:fill>
    <x:fill>
      <x:patternFill patternType="solid">
        <x:fgColor rgb="FFFEF3C7"/>
      </x:patternFill>
    </x:fill>
    <x:fill>
      <x:patternFill patternType="solid">
        <x:fgColor rgb="FFFECACA"/>
      </x:patternFill>
    </x:fill>
    <x:fill>
      <x:patternFill patternType="solid">
        <x:fgColor rgb="FFD1FAE5"/>
      </x:patternFill>
    </x:fill>
    <x:fill>
      <x:patternFill patternType="solid">
        <x:fgColor rgb="FFFEF3C7"/>
      </x:patternFill>
    </x:fill>
    <x:fill>
      <x:patternFill patternType="solid">
        <x:fgColor rgb="FFD1FAE5"/>
      </x:patternFill>
    </x:fill>
    <x:fill>
      <x:patternFill patternType="solid">
        <x:fgColor rgb="FFDBEAFE"/>
      </x:patternFill>
    </x:fill>
    <x:fill>
      <x:patternFill patternType="solid">
        <x:fgColor rgb="FFDBEAFE"/>
      </x:patternFill>
    </x:fill>
    <x:fill>
      <x:patternFill patternType="solid">
        <x:fgColor rgb="FF16324F"/>
      </x:patternFill>
    </x:fill>
    <x:fill>
      <x:patternFill patternType="solid">
        <x:fgColor rgb="FFDCEAF3"/>
      </x:patternFill>
    </x:fill>
    <x:fill>
      <x:patternFill patternType="solid">
        <x:fgColor rgb="FFF2F5F7"/>
      </x:patternFill>
    </x:fill>
    <x:fill>
      <x:patternFill patternType="solid">
        <x:fgColor rgb="FF276A73"/>
      </x:patternFill>
    </x:fill>
    <x:fill>
      <x:patternFill patternType="solid">
        <x:fgColor rgb="FFE8F2F1"/>
      </x:patternFill>
    </x:fill>
    <x:fill>
      <x:patternFill patternType="solid">
        <x:fgColor rgb="FFFFF4D6"/>
      </x:patternFill>
    </x:fill>
  </x:fills>
  <x:borders count="10">
    <x:border/>
    <x:border/>
    <x:border>
      <x:left style="thin">
        <x:color rgb="FFD1D5DB"/>
      </x:left>
      <x:right style="thin">
        <x:color rgb="FFD1D5DB"/>
      </x:right>
      <x:top style="thin">
        <x:color rgb="FFD1D5DB"/>
      </x:top>
      <x:bottom style="thin">
        <x:color rgb="FFD1D5DB"/>
      </x:bottom>
    </x:border>
    <x:border>
      <x:bottom style="thin">
        <x:color rgb="FFD1D5DB"/>
      </x:bottom>
    </x:border>
    <x:border>
      <x:left style="thin">
        <x:color rgb="FFB0BEC5"/>
      </x:left>
      <x:top style="thin">
        <x:color rgb="FFB0BEC5"/>
      </x:top>
      <x:bottom style="thin">
        <x:color rgb="FFB0BEC5"/>
      </x:bottom>
    </x:border>
    <x:border>
      <x:top style="thin">
        <x:color rgb="FFB0BEC5"/>
      </x:top>
      <x:bottom style="thin">
        <x:color rgb="FFB0BEC5"/>
      </x:bottom>
    </x:border>
    <x:border>
      <x:right style="thin">
        <x:color rgb="FFB0BEC5"/>
      </x:right>
      <x:top style="thin">
        <x:color rgb="FFB0BEC5"/>
      </x:top>
      <x:bottom style="thin">
        <x:color rgb="FFB0BEC5"/>
      </x:bottom>
    </x:border>
    <x:border>
      <x:bottom style="thin">
        <x:color rgb="FFD9E1E5"/>
      </x:bottom>
    </x:border>
    <x:border>
      <x:top style="thin">
        <x:color rgb="FFD9E1E5"/>
      </x:top>
      <x:bottom style="thin">
        <x:color rgb="FFD9E1E5"/>
      </x:bottom>
    </x:border>
    <x:border>
      <x:top style="thin">
        <x:color rgb="FFD9E1E5"/>
      </x:top>
    </x:border>
  </x:borders>
  <x:cellStyleXfs count="1">
    <x:xf numFmtId="0" fontId="0" fillId="0" borderId="0"/>
  </x:cellStyleXfs>
  <x:cellXfs count="15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200" fontId="0" fillId="0" borderId="0" xfId="0" applyNumberFormat="1" applyFont="1" applyFill="1" applyBorder="1" applyAlignment="1">
      <x:alignment vertical="top" wrapText="1"/>
    </x:xf>
    <x:xf numFmtId="200" fontId="0" fillId="0" borderId="1" xfId="0" applyNumberFormat="1" applyFont="1" applyFill="1" applyBorder="1" applyAlignment="1">
      <x:alignment vertical="top"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left"/>
    </x:xf>
    <x:xf numFmtId="0" fontId="2" fillId="3" borderId="0" xfId="0" applyNumberFormat="1" applyFont="1" applyFill="1" applyBorder="1" applyAlignment="1">
      <x:alignment horizontal="left"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left"/>
    </x:xf>
    <x:xf numFmtId="0" fontId="2" fillId="3" borderId="1"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vertical="top"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vertical="top" wrapText="1"/>
    </x:xf>
    <x:xf numFmtId="200" fontId="0" fillId="0" borderId="0" xfId="0" applyNumberFormat="1" applyFont="1" applyFill="1" applyBorder="1"/>
    <x:xf numFmtId="200" fontId="0" fillId="0" borderId="1" xfId="0" applyNumberFormat="1" applyFont="1" applyFill="1" applyBorder="1"/>
    <x:xf numFmtId="0" fontId="0" fillId="0" borderId="0" xfId="0" applyNumberFormat="1" applyFont="1" applyFill="1" applyBorder="1"/>
    <x:xf numFmtId="201" fontId="0" fillId="0" borderId="0" xfId="0" applyNumberFormat="1" applyFont="1" applyFill="1" applyBorder="1" applyAlignment="1">
      <x:alignment wrapText="1"/>
    </x:xf>
    <x:xf numFmtId="201" fontId="0" fillId="0" borderId="1" xfId="0" applyNumberFormat="1" applyFont="1" applyFill="1" applyBorder="1" applyAlignment="1">
      <x:alignment wrapText="1"/>
    </x:xf>
    <x:xf numFmtId="0" fontId="0" fillId="0" borderId="0" xfId="0" applyNumberFormat="1" applyFont="1" applyFill="1" applyBorder="1" applyAlignment="1">
      <x:alignment vertical="center" wrapText="1"/>
    </x:xf>
    <x:xf numFmtId="201" fontId="0" fillId="0" borderId="0" xfId="0" applyNumberFormat="1" applyFont="1" applyFill="1" applyBorder="1" applyAlignment="1">
      <x:alignment vertical="top" wrapText="1"/>
    </x:xf>
    <x:xf numFmtId="202" fontId="0" fillId="0" borderId="0" xfId="0" applyNumberFormat="1" applyFont="1" applyFill="1" applyBorder="1"/>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vertical="center"/>
    </x:xf>
    <x:xf numFmtId="0" fontId="0" fillId="6" borderId="0" xfId="0" applyNumberFormat="1" applyFont="1" applyFill="1" applyBorder="1"/>
    <x:xf numFmtId="0" fontId="5" fillId="6" borderId="0" xfId="0" applyNumberFormat="1" applyFont="1" applyFill="1" applyBorder="1"/>
    <x:xf numFmtId="0" fontId="5" fillId="6" borderId="0" xfId="0" applyNumberFormat="1" applyFont="1" applyFill="1" applyBorder="1" applyAlignment="1">
      <x:alignment wrapText="1"/>
    </x:xf>
    <x:xf numFmtId="0" fontId="5" fillId="6" borderId="0" xfId="0" applyNumberFormat="1" applyFont="1" applyFill="1" applyBorder="1" applyAlignment="1">
      <x:alignment vertical="center" wrapText="1"/>
    </x:xf>
    <x:xf numFmtId="0" fontId="0" fillId="7" borderId="0" xfId="0" applyNumberFormat="1" applyFont="1" applyFill="1" applyBorder="1" applyAlignment="1">
      <x:alignment wrapText="1"/>
    </x:xf>
    <x:xf numFmtId="0" fontId="1" fillId="7" borderId="0" xfId="0" applyNumberFormat="1" applyFont="1" applyFill="1" applyBorder="1" applyAlignment="1">
      <x:alignment wrapText="1"/>
    </x:xf>
    <x:xf numFmtId="0" fontId="1" fillId="7" borderId="2"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0" fillId="8" borderId="0" xfId="0" applyNumberFormat="1" applyFont="1" applyFill="1" applyBorder="1" applyAlignment="1">
      <x:alignment wrapText="1"/>
    </x:xf>
    <x:xf numFmtId="0" fontId="6" fillId="8" borderId="0" xfId="0" applyNumberFormat="1" applyFont="1" applyFill="1" applyBorder="1" applyAlignment="1">
      <x:alignment wrapText="1"/>
    </x:xf>
    <x:xf numFmtId="0" fontId="6" fillId="8" borderId="3" xfId="0" applyNumberFormat="1" applyFont="1" applyFill="1" applyBorder="1" applyAlignment="1">
      <x:alignment wrapText="1"/>
    </x:xf>
    <x:xf numFmtId="0" fontId="6" fillId="8" borderId="3" xfId="0" applyNumberFormat="1" applyFont="1" applyFill="1" applyBorder="1" applyAlignment="1">
      <x:alignment vertical="top" wrapText="1"/>
    </x:xf>
    <x:xf numFmtId="0" fontId="0" fillId="9" borderId="0" xfId="0" applyNumberFormat="1" applyFont="1" applyFill="1" applyBorder="1" applyAlignment="1">
      <x:alignment wrapText="1"/>
    </x:xf>
    <x:xf numFmtId="0" fontId="6" fillId="9" borderId="0" xfId="0" applyNumberFormat="1" applyFont="1" applyFill="1" applyBorder="1" applyAlignment="1">
      <x:alignment wrapText="1"/>
    </x:xf>
    <x:xf numFmtId="0" fontId="6" fillId="9" borderId="3" xfId="0" applyNumberFormat="1" applyFont="1" applyFill="1" applyBorder="1" applyAlignment="1">
      <x:alignment wrapText="1"/>
    </x:xf>
    <x:xf numFmtId="0" fontId="6" fillId="9" borderId="3" xfId="0" applyNumberFormat="1" applyFont="1" applyFill="1" applyBorder="1" applyAlignment="1">
      <x:alignment vertical="top" wrapText="1"/>
    </x:xf>
    <x:xf numFmtId="0" fontId="6" fillId="10" borderId="3" xfId="0" applyNumberFormat="1" applyFont="1" applyFill="1" applyBorder="1" applyAlignment="1">
      <x:alignment vertical="top" wrapText="1"/>
    </x:xf>
    <x:xf numFmtId="0" fontId="6" fillId="11" borderId="3" xfId="0" applyNumberFormat="1" applyFont="1" applyFill="1" applyBorder="1" applyAlignment="1">
      <x:alignment vertical="top" wrapText="1"/>
    </x:xf>
    <x:xf numFmtId="0" fontId="6" fillId="12" borderId="3" xfId="0" applyNumberFormat="1" applyFont="1" applyFill="1" applyBorder="1" applyAlignment="1">
      <x:alignment vertical="top" wrapText="1"/>
    </x:xf>
    <x:xf numFmtId="0" fontId="7" fillId="10" borderId="3" xfId="0" applyNumberFormat="1" applyFont="1" applyFill="1" applyBorder="1" applyAlignment="1">
      <x:alignment vertical="top" wrapText="1"/>
    </x:xf>
    <x:xf numFmtId="0" fontId="7" fillId="11" borderId="3" xfId="0" applyNumberFormat="1" applyFont="1" applyFill="1" applyBorder="1" applyAlignment="1">
      <x:alignment vertical="top" wrapText="1"/>
    </x:xf>
    <x:xf numFmtId="0" fontId="7" fillId="8" borderId="3" xfId="0" applyNumberFormat="1" applyFont="1" applyFill="1" applyBorder="1" applyAlignment="1">
      <x:alignment vertical="top" wrapText="1"/>
    </x:xf>
    <x:xf numFmtId="0" fontId="7" fillId="9" borderId="3" xfId="0" applyNumberFormat="1" applyFont="1" applyFill="1" applyBorder="1" applyAlignment="1">
      <x:alignment vertical="top" wrapText="1"/>
    </x:xf>
    <x:xf numFmtId="0" fontId="7" fillId="12" borderId="3" xfId="0" applyNumberFormat="1" applyFont="1" applyFill="1" applyBorder="1" applyAlignment="1">
      <x:alignment vertical="top" wrapText="1"/>
    </x:xf>
    <x:xf numFmtId="0" fontId="7" fillId="13" borderId="3" xfId="0" applyNumberFormat="1" applyFont="1" applyFill="1" applyBorder="1" applyAlignment="1">
      <x:alignment vertical="top" wrapText="1"/>
    </x:xf>
    <x:xf numFmtId="0" fontId="7" fillId="14" borderId="3" xfId="0" applyNumberFormat="1" applyFont="1" applyFill="1" applyBorder="1" applyAlignment="1">
      <x:alignment vertical="top" wrapText="1"/>
    </x:xf>
    <x:xf numFmtId="0" fontId="7" fillId="15" borderId="3" xfId="0" applyNumberFormat="1" applyFont="1" applyFill="1" applyBorder="1" applyAlignment="1">
      <x:alignment vertical="top" wrapText="1"/>
    </x:xf>
    <x:xf numFmtId="0" fontId="7" fillId="15" borderId="3" xfId="0" applyNumberFormat="1" applyFont="1" applyFill="1" applyBorder="1" applyAlignment="1">
      <x:alignment horizontal="general" vertical="top" wrapText="1"/>
    </x:xf>
    <x:xf numFmtId="0" fontId="7" fillId="16" borderId="3" xfId="0" applyNumberFormat="1" applyFont="1" applyFill="1" applyBorder="1" applyAlignment="1">
      <x:alignment vertical="top" wrapText="1"/>
    </x:xf>
    <x:xf numFmtId="0" fontId="8" fillId="16" borderId="3" xfId="0" applyNumberFormat="1" applyFont="1" applyFill="1" applyBorder="1" applyAlignment="1">
      <x:alignment vertical="top" wrapText="1"/>
    </x:xf>
    <x:xf numFmtId="0" fontId="8" fillId="16" borderId="3" xfId="0" applyNumberFormat="1" applyFont="1" applyFill="1" applyBorder="1" applyAlignment="1">
      <x:alignment horizontal="general" vertical="top" wrapText="1"/>
    </x:xf>
    <x:xf numFmtId="0" fontId="8" fillId="17" borderId="3" xfId="0" applyNumberFormat="1" applyFont="1" applyFill="1" applyBorder="1" applyAlignment="1">
      <x:alignment horizontal="general" vertical="top" wrapText="1"/>
    </x:xf>
    <x:xf numFmtId="0" fontId="0" fillId="18" borderId="0" xfId="0" applyNumberFormat="1" applyFont="1" applyFill="1" applyBorder="1"/>
    <x:xf numFmtId="0" fontId="9" fillId="18" borderId="0" xfId="0" applyNumberFormat="1" applyFont="1" applyFill="1" applyBorder="1"/>
    <x:xf numFmtId="0" fontId="9" fillId="18" borderId="0" xfId="0" applyNumberFormat="1" applyFont="1" applyFill="1" applyBorder="1" applyAlignment="1">
      <x:alignment horizontal="left"/>
    </x:xf>
    <x:xf numFmtId="0" fontId="9" fillId="18" borderId="0" xfId="0" applyNumberFormat="1" applyFont="1" applyFill="1" applyBorder="1" applyAlignment="1">
      <x:alignment horizontal="left" vertical="center"/>
    </x:xf>
    <x:xf numFmtId="0" fontId="0" fillId="19" borderId="0" xfId="0" applyNumberFormat="1" applyFont="1" applyFill="1" applyBorder="1"/>
    <x:xf numFmtId="0" fontId="10" fillId="19" borderId="0" xfId="0" applyNumberFormat="1" applyFont="1" applyFill="1" applyBorder="1"/>
    <x:xf numFmtId="0" fontId="10" fillId="19" borderId="0" xfId="0" applyNumberFormat="1" applyFont="1" applyFill="1" applyBorder="1" applyAlignment="1">
      <x:alignment wrapText="1"/>
    </x:xf>
    <x:xf numFmtId="0" fontId="10" fillId="19" borderId="0" xfId="0" applyNumberFormat="1" applyFont="1" applyFill="1" applyBorder="1" applyAlignment="1">
      <x:alignment horizontal="left" wrapText="1"/>
    </x:xf>
    <x:xf numFmtId="0" fontId="10" fillId="19" borderId="0" xfId="0" applyNumberFormat="1" applyFont="1" applyFill="1" applyBorder="1" applyAlignment="1">
      <x:alignment horizontal="left" vertical="center" wrapText="1"/>
    </x:xf>
    <x:xf numFmtId="0" fontId="0" fillId="20" borderId="0" xfId="0" applyNumberFormat="1" applyFont="1" applyFill="1" applyBorder="1"/>
    <x:xf numFmtId="0" fontId="11" fillId="20" borderId="0" xfId="0" applyNumberFormat="1" applyFont="1" applyFill="1" applyBorder="1"/>
    <x:xf numFmtId="0" fontId="11" fillId="20" borderId="4" xfId="0" applyNumberFormat="1" applyFont="1" applyFill="1" applyBorder="1"/>
    <x:xf numFmtId="0" fontId="11" fillId="20" borderId="5" xfId="0" applyNumberFormat="1" applyFont="1" applyFill="1" applyBorder="1"/>
    <x:xf numFmtId="0" fontId="11" fillId="20" borderId="6" xfId="0" applyNumberFormat="1" applyFont="1" applyFill="1" applyBorder="1"/>
    <x:xf numFmtId="0" fontId="11" fillId="20" borderId="4" xfId="0" applyNumberFormat="1" applyFont="1" applyFill="1" applyBorder="1" applyAlignment="1">
      <x:alignment wrapText="1"/>
    </x:xf>
    <x:xf numFmtId="0" fontId="11" fillId="20" borderId="5" xfId="0" applyNumberFormat="1" applyFont="1" applyFill="1" applyBorder="1" applyAlignment="1">
      <x:alignment wrapText="1"/>
    </x:xf>
    <x:xf numFmtId="0" fontId="11" fillId="20" borderId="6" xfId="0" applyNumberFormat="1" applyFont="1" applyFill="1" applyBorder="1" applyAlignment="1">
      <x:alignment wrapText="1"/>
    </x:xf>
    <x:xf numFmtId="0" fontId="11" fillId="20" borderId="4" xfId="0" applyNumberFormat="1" applyFont="1" applyFill="1" applyBorder="1" applyAlignment="1">
      <x:alignment horizontal="left" wrapText="1"/>
    </x:xf>
    <x:xf numFmtId="0" fontId="11" fillId="20" borderId="5" xfId="0" applyNumberFormat="1" applyFont="1" applyFill="1" applyBorder="1" applyAlignment="1">
      <x:alignment horizontal="left" wrapText="1"/>
    </x:xf>
    <x:xf numFmtId="0" fontId="11" fillId="20" borderId="6" xfId="0" applyNumberFormat="1" applyFont="1" applyFill="1" applyBorder="1" applyAlignment="1">
      <x:alignment horizontal="left" wrapText="1"/>
    </x:xf>
    <x:xf numFmtId="0" fontId="11" fillId="20" borderId="4" xfId="0" applyNumberFormat="1" applyFont="1" applyFill="1" applyBorder="1" applyAlignment="1">
      <x:alignment horizontal="left" vertical="center" wrapText="1"/>
    </x:xf>
    <x:xf numFmtId="0" fontId="11" fillId="20" borderId="5" xfId="0" applyNumberFormat="1" applyFont="1" applyFill="1" applyBorder="1" applyAlignment="1">
      <x:alignment horizontal="left" vertical="center" wrapText="1"/>
    </x:xf>
    <x:xf numFmtId="0" fontId="11" fillId="20" borderId="6" xfId="0" applyNumberFormat="1" applyFont="1" applyFill="1" applyBorder="1" applyAlignment="1">
      <x:alignment horizontal="left" vertical="center" wrapText="1"/>
    </x:xf>
    <x:xf numFmtId="0" fontId="0" fillId="21" borderId="0" xfId="0" applyNumberFormat="1" applyFont="1" applyFill="1" applyBorder="1"/>
    <x:xf numFmtId="0" fontId="12" fillId="21" borderId="0" xfId="0" applyNumberFormat="1" applyFont="1" applyFill="1" applyBorder="1"/>
    <x:xf numFmtId="0" fontId="12" fillId="21" borderId="0" xfId="0" applyNumberFormat="1" applyFont="1" applyFill="1" applyBorder="1" applyAlignment="1">
      <x:alignment wrapText="1"/>
    </x:xf>
    <x:xf numFmtId="0" fontId="12" fillId="21" borderId="0" xfId="0" applyNumberFormat="1" applyFont="1" applyFill="1" applyBorder="1" applyAlignment="1">
      <x:alignment horizontal="left" wrapText="1"/>
    </x:xf>
    <x:xf numFmtId="0" fontId="12" fillId="21" borderId="0" xfId="0" applyNumberFormat="1" applyFont="1" applyFill="1" applyBorder="1" applyAlignment="1">
      <x:alignment horizontal="left" vertical="center" wrapText="1"/>
    </x:xf>
    <x:xf numFmtId="0" fontId="13" fillId="0" borderId="0" xfId="0" applyNumberFormat="1" applyFont="1" applyFill="1" applyBorder="1"/>
    <x:xf numFmtId="0" fontId="13" fillId="0" borderId="7" xfId="0" applyNumberFormat="1" applyFont="1" applyFill="1" applyBorder="1"/>
    <x:xf numFmtId="0" fontId="13" fillId="0" borderId="8" xfId="0" applyNumberFormat="1" applyFont="1" applyFill="1" applyBorder="1"/>
    <x:xf numFmtId="0" fontId="13" fillId="0" borderId="9" xfId="0" applyNumberFormat="1" applyFont="1" applyFill="1" applyBorder="1"/>
    <x:xf numFmtId="0" fontId="13" fillId="0" borderId="7" xfId="0" applyNumberFormat="1" applyFont="1" applyFill="1" applyBorder="1" applyAlignment="1">
      <x:alignment wrapText="1"/>
    </x:xf>
    <x:xf numFmtId="0" fontId="13" fillId="0" borderId="8" xfId="0" applyNumberFormat="1" applyFont="1" applyFill="1" applyBorder="1" applyAlignment="1">
      <x:alignment wrapText="1"/>
    </x:xf>
    <x:xf numFmtId="0" fontId="13" fillId="0" borderId="9" xfId="0" applyNumberFormat="1" applyFont="1" applyFill="1" applyBorder="1" applyAlignment="1">
      <x:alignment wrapText="1"/>
    </x:xf>
    <x:xf numFmtId="0" fontId="13" fillId="0" borderId="7" xfId="0" applyNumberFormat="1" applyFont="1" applyFill="1" applyBorder="1" applyAlignment="1">
      <x:alignment vertical="top" wrapText="1"/>
    </x:xf>
    <x:xf numFmtId="0" fontId="13" fillId="0" borderId="8" xfId="0" applyNumberFormat="1" applyFont="1" applyFill="1" applyBorder="1" applyAlignment="1">
      <x:alignment vertical="top" wrapText="1"/>
    </x:xf>
    <x:xf numFmtId="0" fontId="13" fillId="0" borderId="9" xfId="0" applyNumberFormat="1" applyFont="1" applyFill="1" applyBorder="1" applyAlignment="1">
      <x:alignment vertical="top" wrapText="1"/>
    </x:xf>
    <x:xf numFmtId="0" fontId="13" fillId="22" borderId="7" xfId="0" applyNumberFormat="1" applyFont="1" applyFill="1" applyBorder="1" applyAlignment="1">
      <x:alignment vertical="top" wrapText="1"/>
    </x:xf>
    <x:xf numFmtId="0" fontId="13" fillId="22" borderId="8" xfId="0" applyNumberFormat="1" applyFont="1" applyFill="1" applyBorder="1" applyAlignment="1">
      <x:alignment vertical="top" wrapText="1"/>
    </x:xf>
    <x:xf numFmtId="0" fontId="13" fillId="22" borderId="9" xfId="0" applyNumberFormat="1" applyFont="1" applyFill="1" applyBorder="1" applyAlignment="1">
      <x:alignment vertical="top" wrapText="1"/>
    </x:xf>
    <x:xf numFmtId="0" fontId="14" fillId="22" borderId="7" xfId="0" applyNumberFormat="1" applyFont="1" applyFill="1" applyBorder="1" applyAlignment="1">
      <x:alignment vertical="top" wrapText="1"/>
    </x:xf>
    <x:xf numFmtId="0" fontId="14" fillId="22" borderId="8" xfId="0" applyNumberFormat="1" applyFont="1" applyFill="1" applyBorder="1" applyAlignment="1">
      <x:alignment vertical="top" wrapText="1"/>
    </x:xf>
    <x:xf numFmtId="0" fontId="14" fillId="22" borderId="9" xfId="0" applyNumberFormat="1" applyFont="1" applyFill="1" applyBorder="1" applyAlignment="1">
      <x:alignment vertical="top" wrapText="1"/>
    </x:xf>
    <x:xf numFmtId="203" fontId="14" fillId="22" borderId="7" xfId="0" applyNumberFormat="1" applyFont="1" applyFill="1" applyBorder="1" applyAlignment="1">
      <x:alignment vertical="top" wrapText="1"/>
    </x:xf>
    <x:xf numFmtId="203" fontId="14" fillId="22" borderId="8" xfId="0" applyNumberFormat="1" applyFont="1" applyFill="1" applyBorder="1" applyAlignment="1">
      <x:alignment vertical="top" wrapText="1"/>
    </x:xf>
    <x:xf numFmtId="203" fontId="14" fillId="22" borderId="9" xfId="0" applyNumberFormat="1" applyFont="1" applyFill="1" applyBorder="1" applyAlignment="1">
      <x:alignment vertical="top" wrapText="1"/>
    </x:xf>
    <x:xf numFmtId="203" fontId="14" fillId="22" borderId="7" xfId="0" applyNumberFormat="1" applyFont="1" applyFill="1" applyBorder="1" applyAlignment="1">
      <x:alignment horizontal="center" vertical="top" wrapText="1"/>
    </x:xf>
    <x:xf numFmtId="203" fontId="14" fillId="22" borderId="8" xfId="0" applyNumberFormat="1" applyFont="1" applyFill="1" applyBorder="1" applyAlignment="1">
      <x:alignment horizontal="center" vertical="top" wrapText="1"/>
    </x:xf>
    <x:xf numFmtId="203" fontId="14" fillId="22" borderId="9" xfId="0" applyNumberFormat="1" applyFont="1" applyFill="1" applyBorder="1" applyAlignment="1">
      <x:alignment horizontal="center" vertical="top" wrapText="1"/>
    </x:xf>
    <x:xf numFmtId="0" fontId="15" fillId="0" borderId="7" xfId="0" applyNumberFormat="1" applyFont="1" applyFill="1" applyBorder="1" applyAlignment="1">
      <x:alignment vertical="top" wrapText="1"/>
    </x:xf>
    <x:xf numFmtId="0" fontId="15" fillId="0" borderId="8" xfId="0" applyNumberFormat="1" applyFont="1" applyFill="1" applyBorder="1" applyAlignment="1">
      <x:alignment vertical="top" wrapText="1"/>
    </x:xf>
    <x:xf numFmtId="0" fontId="15" fillId="0" borderId="9" xfId="0" applyNumberFormat="1" applyFont="1" applyFill="1" applyBorder="1" applyAlignment="1">
      <x:alignment vertical="top" wrapText="1"/>
    </x:xf>
    <x:xf numFmtId="0" fontId="16" fillId="0" borderId="7" xfId="0" applyNumberFormat="1" applyFont="1" applyFill="1" applyBorder="1" applyAlignment="1">
      <x:alignment vertical="top" wrapText="1"/>
    </x:xf>
    <x:xf numFmtId="0" fontId="16" fillId="0" borderId="8" xfId="0" applyNumberFormat="1" applyFont="1" applyFill="1" applyBorder="1" applyAlignment="1">
      <x:alignment vertical="top" wrapText="1"/>
    </x:xf>
    <x:xf numFmtId="0" fontId="16" fillId="0" borderId="9" xfId="0" applyNumberFormat="1" applyFont="1" applyFill="1" applyBorder="1" applyAlignment="1">
      <x:alignment vertical="top" wrapText="1"/>
    </x:xf>
    <x:xf numFmtId="0" fontId="16" fillId="0" borderId="7" xfId="0" applyNumberFormat="1" applyFont="1" applyFill="1" applyBorder="1" applyAlignment="1">
      <x:alignment horizontal="center" vertical="top" wrapText="1"/>
    </x:xf>
    <x:xf numFmtId="0" fontId="16" fillId="0" borderId="8" xfId="0" applyNumberFormat="1" applyFont="1" applyFill="1" applyBorder="1" applyAlignment="1">
      <x:alignment horizontal="center" vertical="top" wrapText="1"/>
    </x:xf>
    <x:xf numFmtId="0" fontId="16" fillId="0" borderId="9" xfId="0" applyNumberFormat="1" applyFont="1" applyFill="1" applyBorder="1" applyAlignment="1">
      <x:alignment horizontal="center" vertical="top" wrapText="1"/>
    </x:xf>
    <x:xf numFmtId="0" fontId="13" fillId="23" borderId="7" xfId="0" applyNumberFormat="1" applyFont="1" applyFill="1" applyBorder="1" applyAlignment="1">
      <x:alignment vertical="top" wrapText="1"/>
    </x:xf>
    <x:xf numFmtId="0" fontId="13" fillId="23" borderId="8" xfId="0" applyNumberFormat="1" applyFont="1" applyFill="1" applyBorder="1" applyAlignment="1">
      <x:alignment vertical="top" wrapText="1"/>
    </x:xf>
    <x:xf numFmtId="0" fontId="13" fillId="23" borderId="9" xfId="0" applyNumberFormat="1" applyFont="1" applyFill="1" applyBorder="1" applyAlignment="1">
      <x:alignment vertical="top" wrapText="1"/>
    </x:xf>
    <x:xf numFmtId="0" fontId="17" fillId="23" borderId="7" xfId="0" applyNumberFormat="1" applyFont="1" applyFill="1" applyBorder="1" applyAlignment="1">
      <x:alignment vertical="top" wrapText="1"/>
    </x:xf>
    <x:xf numFmtId="0" fontId="17" fillId="23" borderId="8" xfId="0" applyNumberFormat="1" applyFont="1" applyFill="1" applyBorder="1" applyAlignment="1">
      <x:alignment vertical="top" wrapText="1"/>
    </x:xf>
    <x:xf numFmtId="0" fontId="17" fillId="23" borderId="9" xfId="0" applyNumberFormat="1" applyFont="1" applyFill="1" applyBorder="1" applyAlignment="1">
      <x:alignment vertical="top" wrapText="1"/>
    </x:xf>
    <x:xf numFmtId="0" fontId="18" fillId="0" borderId="7" xfId="0" applyNumberFormat="1" applyFont="1" applyFill="1" applyBorder="1" applyAlignment="1">
      <x:alignment vertical="top" wrapText="1"/>
    </x:xf>
    <x:xf numFmtId="0" fontId="18" fillId="0" borderId="8" xfId="0" applyNumberFormat="1" applyFont="1" applyFill="1" applyBorder="1" applyAlignment="1">
      <x:alignment vertical="top" wrapText="1"/>
    </x:xf>
    <x:xf numFmtId="0" fontId="18" fillId="0" borderId="9" xfId="0" applyNumberFormat="1" applyFont="1" applyFill="1" applyBorder="1" applyAlignment="1">
      <x:alignment vertical="top" wrapText="1"/>
    </x:xf>
    <x:xf numFmtId="0" fontId="18" fillId="0" borderId="7" xfId="0" applyNumberFormat="1" applyFont="1" applyFill="1" applyBorder="1" applyAlignment="1">
      <x:alignment horizontal="center" vertical="top" wrapText="1"/>
    </x:xf>
    <x:xf numFmtId="0" fontId="18" fillId="0" borderId="8" xfId="0" applyNumberFormat="1" applyFont="1" applyFill="1" applyBorder="1" applyAlignment="1">
      <x:alignment horizontal="center" vertical="top" wrapText="1"/>
    </x:xf>
    <x:xf numFmtId="0" fontId="18" fillId="0" borderId="9" xfId="0" applyNumberFormat="1" applyFont="1" applyFill="1" applyBorder="1" applyAlignment="1">
      <x:alignment horizontal="center" vertical="top" wrapText="1"/>
    </x:xf>
    <x:xf numFmtId="0" fontId="19" fillId="0" borderId="7" xfId="0" applyNumberFormat="1" applyFont="1" applyFill="1" applyBorder="1" applyAlignment="1">
      <x:alignment vertical="top" wrapText="1"/>
    </x:xf>
    <x:xf numFmtId="0" fontId="19" fillId="0" borderId="8" xfId="0" applyNumberFormat="1" applyFont="1" applyFill="1" applyBorder="1" applyAlignment="1">
      <x:alignment vertical="top" wrapText="1"/>
    </x:xf>
    <x:xf numFmtId="0" fontId="19" fillId="0" borderId="9" xfId="0" applyNumberFormat="1" applyFont="1" applyFill="1" applyBorder="1" applyAlignment="1">
      <x:alignment vertical="top" wrapText="1"/>
    </x:xf>
  </x:cellXfs>
  <x:cellStyles count="1">
    <x:cellStyle name="Normal" xfId="0"/>
  </x:cellStyles>
  <x:dxfs count="8">
    <x:dxf>
      <x:font>
        <x:b/>
        <x:color rgb="FF7F1D1D"/>
      </x:font>
      <x:fill>
        <x:patternFill>
          <x:bgColor rgb="FFFECACA"/>
        </x:patternFill>
      </x:fill>
    </x:dxf>
    <x:dxf>
      <x:font>
        <x:b/>
        <x:color rgb="FF14532D"/>
      </x:font>
      <x:fill>
        <x:patternFill>
          <x:bgColor rgb="FFDCFCE7"/>
        </x:patternFill>
      </x:fill>
    </x:dxf>
    <x:dxf>
      <x:font>
        <x:b/>
        <x:color rgb="FF1E3A8A"/>
      </x:font>
      <x:fill>
        <x:patternFill>
          <x:bgColor rgb="FFDBEAFE"/>
        </x:patternFill>
      </x:fill>
    </x:dxf>
    <x:dxf>
      <x:font>
        <x:b/>
        <x:color rgb="FF78350F"/>
      </x:font>
      <x:fill>
        <x:patternFill>
          <x:bgColor rgb="FFFEF3C7"/>
        </x:patternFill>
      </x:fill>
    </x:dxf>
    <x:dxf>
      <x:font>
        <x:b/>
        <x:color rgb="FF1B5E20"/>
      </x:font>
      <x:fill>
        <x:patternFill>
          <x:bgColor rgb="FFDDEFD8"/>
        </x:patternFill>
      </x:fill>
    </x:dxf>
    <x:dxf>
      <x:font>
        <x:b/>
        <x:color rgb="FF8A4B08"/>
      </x:font>
      <x:fill>
        <x:patternFill>
          <x:bgColor rgb="FFFCE8D5"/>
        </x:patternFill>
      </x:fill>
    </x:dxf>
    <x:dxf>
      <x:font>
        <x:b/>
        <x:color rgb="FF8B1E1E"/>
      </x:font>
      <x:fill>
        <x:patternFill>
          <x:bgColor rgb="FFF4D7D7"/>
        </x:patternFill>
      </x:fill>
    </x:dxf>
    <x:dxf>
      <x:font>
        <x:b/>
        <x:color rgb="FF455A64"/>
      </x:font>
      <x:fill>
        <x:patternFill>
          <x:bgColor rgb="FFECEFF1"/>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601c3a9b070a418a" /><Relationship Type="http://schemas.openxmlformats.org/officeDocument/2006/relationships/theme" Target="/xl/theme/theme1.xml" Id="Rd5c34e8ff3f64b2b" /><Relationship Type="http://schemas.openxmlformats.org/officeDocument/2006/relationships/sharedStrings" Target="/xl/sharedStrings.xml" Id="R616485103fd949be" /><Relationship Type="http://schemas.openxmlformats.org/officeDocument/2006/relationships/worksheet" Target="/xl/worksheets/sheet1.xml" Id="R1c10f44730d14172" /><Relationship Type="http://schemas.openxmlformats.org/officeDocument/2006/relationships/worksheet" Target="/xl/worksheets/sheet2.xml" Id="Rb3108f2fab3b445f" /><Relationship Type="http://schemas.openxmlformats.org/officeDocument/2006/relationships/worksheet" Target="/xl/worksheets/sheet3.xml" Id="R4978b5026cdc4ebc" /><Relationship Type="http://schemas.openxmlformats.org/officeDocument/2006/relationships/worksheet" Target="/xl/worksheets/sheet4.xml" Id="Rbcbfbf41ef4042f4" /><Relationship Type="http://schemas.openxmlformats.org/officeDocument/2006/relationships/worksheet" Target="/xl/worksheets/sheet5.xml" Id="R32eb57bae7924213" /><Relationship Type="http://schemas.openxmlformats.org/officeDocument/2006/relationships/worksheet" Target="/xl/worksheets/sheet6.xml" Id="R1b25ae0d2b544cee" /><Relationship Type="http://schemas.openxmlformats.org/officeDocument/2006/relationships/worksheet" Target="/xl/worksheets/sheet7.xml" Id="R0bfd1196c60c45e0" /><Relationship Type="http://schemas.openxmlformats.org/officeDocument/2006/relationships/worksheet" Target="/xl/worksheets/sheet8.xml" Id="R48d63aa38eee4a64" /><Relationship Type="http://schemas.openxmlformats.org/officeDocument/2006/relationships/worksheet" Target="/xl/worksheets/sheet9.xml" Id="R0cf975c8fe1149d8" /></Relationships>
</file>

<file path=xl/drawings/_rels/drawing1.xml.rels>&#65279;<?xml version="1.0" encoding="utf-8"?><Relationships xmlns="http://schemas.openxmlformats.org/package/2006/relationships"><Relationship Type="http://schemas.openxmlformats.org/officeDocument/2006/relationships/chart" Target="/xl/drawings/charts/chart1.xml" Id="R17f2976011c54370"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Original 20 Loops by Phase</a:t>
            </a:r>
          </a:p>
        </c:rich>
      </c:tx>
    </c:title>
    <c:autoTitleDeleted val="0"/>
    <c:plotArea>
      <c:barChart>
        <c:barDir val="col"/>
        <c:varyColors val="0"/>
        <c:ser>
          <c:idx val="0"/>
          <c:order val="0"/>
          <c:tx>
            <c:v>Loops</c:v>
          </c:tx>
          <c:dLbls>
            <c:showLegendKey val="0"/>
            <c:showVal val="0"/>
            <c:showCatName val="0"/>
            <c:showSerName val="0"/>
            <c:showPercent val="0"/>
            <c:showBubbleSize val="0"/>
            <c:showLeaderLines val="0"/>
          </c:dLbls>
          <c:cat>
            <c:strRef>
              <c:f>'Dashboard'!$A$13:$A$18</c:f>
              <c:strCache>
                <c:ptCount val="0"/>
              </c:strCache>
            </c:strRef>
          </c:cat>
          <c:val>
            <c:numRef>
              <c:f>'Dashboard'!$B$13:$B$18</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0</xdr:col>
      <xdr:colOff>0</xdr:colOff>
      <xdr:row>20</xdr:row>
      <xdr:rowOff>0</xdr:rowOff>
    </xdr:from>
    <xdr:to>
      <xdr:col>8</xdr:col>
      <xdr:colOff>0</xdr:colOff>
      <xdr:row>36</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17f2976011c54370"/>
        </a:graphicData>
      </a:graphic>
    </xdr:graphicFrame>
    <xdr:clientData/>
  </xdr:twoCellAnchor>
</xdr:wsDr>
</file>

<file path=xl/tables/table1.xml><?xml version="1.0" encoding="utf-8"?>
<x:table xmlns:x="http://schemas.openxmlformats.org/spreadsheetml/2006/main" id="1" name="LoopTrackerTable" displayName="LoopTrackerTable" ref="A1:T21" headerRowCount="1">
  <x:tableColumns count="20">
    <x:tableColumn id="1" name="Loop ID"/>
    <x:tableColumn id="2" name="Phase"/>
    <x:tableColumn id="3" name="Loop Name"/>
    <x:tableColumn id="4" name="Core Question"/>
    <x:tableColumn id="5" name="Build Deliverable"/>
    <x:tableColumn id="6" name="Research Deliverable"/>
    <x:tableColumn id="7" name="Data Scope"/>
    <x:tableColumn id="8" name="Method / Baseline"/>
    <x:tableColumn id="9" name="Primary Metric"/>
    <x:tableColumn id="10" name="Acceptance Gate"/>
    <x:tableColumn id="11" name="Status"/>
    <x:tableColumn id="12" name="Priority"/>
    <x:tableColumn id="13" name="Owner"/>
    <x:tableColumn id="14" name="Effort"/>
    <x:tableColumn id="15" name="Dependencies"/>
    <x:tableColumn id="16" name="Complexity"/>
    <x:tableColumn id="17" name="Codex Prompt Seed"/>
    <x:tableColumn id="18" name="Notes"/>
    <x:tableColumn id="19" name="Score"/>
    <x:tableColumn id="20" name="Health"/>
  </x:tableColumns>
  <x:tableStyleInfo name="TableStyleMedium2" showRowStripes="1"/>
</x:table>
</file>

<file path=xl/tables/table2.xml><?xml version="1.0" encoding="utf-8"?>
<x:table xmlns:x="http://schemas.openxmlformats.org/spreadsheetml/2006/main" id="19" name="DecisionLogTable" displayName="DecisionLogTable" ref="A1:I41" headerRowCount="1" totalsRowCount="0" totalsRowShown="0">
  <x:tableColumns count="9">
    <x:tableColumn id="1" name="Date"/>
    <x:tableColumn id="2" name="Loop ID"/>
    <x:tableColumn id="3" name="Decision"/>
    <x:tableColumn id="4" name="Rationale"/>
    <x:tableColumn id="5" name="Evidence / Link"/>
    <x:tableColumn id="6" name="Reversible?"/>
    <x:tableColumn id="7" name="Owner"/>
    <x:tableColumn id="8" name="Next Review"/>
    <x:tableColumn id="9" name="Notes"/>
  </x:tableColumns>
  <x:tableStyleInfo name="TableStyleMedium2" showFirstColumn="0" showLastColumn="0" showRowStripes="1" showColumnStripes="0"/>
</x:table>
</file>

<file path=xl/tables/table3.xml><?xml version="1.0" encoding="utf-8"?>
<x:table xmlns:x="http://schemas.openxmlformats.org/spreadsheetml/2006/main" id="14" name="RiskRegisterTable" displayName="RiskRegisterTable" ref="A1:I33" headerRowCount="1" totalsRowCount="0" totalsRowShown="0">
  <x:autoFilter ref="A1:I33"/>
  <x:tableColumns count="9">
    <x:tableColumn id="1" name="Risk ID"/>
    <x:tableColumn id="2" name="Area"/>
    <x:tableColumn id="3" name="Risk"/>
    <x:tableColumn id="4" name="Likelihood"/>
    <x:tableColumn id="5" name="Impact"/>
    <x:tableColumn id="6" name="Mitigation"/>
    <x:tableColumn id="7" name="Trigger"/>
    <x:tableColumn id="8" name="Owner"/>
    <x:tableColumn id="9" name="Status"/>
  </x:tableColumns>
  <x:tableStyleInfo name="TableStyleMedium2" showFirstColumn="0" showLastColumn="0" showRowStripes="1" showColumnStripes="0"/>
</x:table>
</file>

<file path=xl/tables/table4.xml><?xml version="1.0" encoding="utf-8"?>
<x:table xmlns:x="http://schemas.openxmlformats.org/spreadsheetml/2006/main" id="20" name="PromptBankTable" displayName="PromptBankTable" ref="A1:C34" headerRowCount="1" totalsRowCount="0" totalsRowShown="0">
  <x:tableColumns count="3">
    <x:tableColumn id="1" name="Loop ID"/>
    <x:tableColumn id="2" name="Loop Name"/>
    <x:tableColumn id="3" name="Prompt Seed"/>
  </x:tableColumns>
  <x:tableStyleInfo name="TableStyleMedium2" showFirstColumn="0" showLastColumn="0" showRowStripes="1" showColumnStripes="0"/>
</x:table>
</file>

<file path=xl/tables/table5.xml><?xml version="1.0" encoding="utf-8"?>
<x:table xmlns:x="http://schemas.openxmlformats.org/spreadsheetml/2006/main" id="16" name="PracticeTrackTable" displayName="PracticeTrackTable" ref="A4:I14" headerRowCount="1" totalsRowCount="0" totalsRowShown="0">
  <x:tableColumns count="9">
    <x:tableColumn id="1" name="ID"/>
    <x:tableColumn id="2" name="Gate"/>
    <x:tableColumn id="3" name="Core Question"/>
    <x:tableColumn id="4" name="Status"/>
    <x:tableColumn id="5" name="Deliverable"/>
    <x:tableColumn id="6" name="Acceptance Boundary"/>
    <x:tableColumn id="7" name="Depends On"/>
    <x:tableColumn id="8" name="Proof Posture"/>
    <x:tableColumn id="9" name="Evidence"/>
  </x:tableColumns>
  <x:tableStyleInfo name="TableStyleMedium2" showFirstColumn="0" showLastColumn="0" showRowStripes="1" showColumnStripes="0"/>
</x:table>
</file>

<file path=xl/tables/table6.xml><?xml version="1.0" encoding="utf-8"?>
<x:table xmlns:x="http://schemas.openxmlformats.org/spreadsheetml/2006/main" id="21" name="NextTwentyLoopsTable" displayName="NextTwentyLoopsTable" ref="A4:P24" headerRowCount="1" totalsRowCount="0" totalsRowShown="0">
  <x:autoFilter ref="A4:P24"/>
  <x:tableColumns count="16">
    <x:tableColumn id="1" name="Loop"/>
    <x:tableColumn id="2" name="Phase"/>
    <x:tableColumn id="3" name="Gate"/>
    <x:tableColumn id="4" name="Priority / Effort"/>
    <x:tableColumn id="5" name="Core question"/>
    <x:tableColumn id="6" name="Why high value"/>
    <x:tableColumn id="7" name="Build + research deliverables"/>
    <x:tableColumn id="8" name="Data scope + controls"/>
    <x:tableColumn id="9" name="Primary metrics"/>
    <x:tableColumn id="10" name="Acceptance + stop rule"/>
    <x:tableColumn id="11" name="Dependencies"/>
    <x:tableColumn id="12" name="Authorization boundary"/>
    <x:tableColumn id="13" name="Resource cap"/>
    <x:tableColumn id="14" name="Proof posture"/>
    <x:tableColumn id="15" name="Status"/>
    <x:tableColumn id="16" name="Primary source URL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9c88092bad4f40b6" /></Relationships>
</file>

<file path=xl/worksheets/_rels/sheet2.xml.rels>&#65279;<?xml version="1.0" encoding="utf-8"?><Relationships xmlns="http://schemas.openxmlformats.org/package/2006/relationships"><Relationship Type="http://schemas.openxmlformats.org/officeDocument/2006/relationships/table" Target="/xl/tables/table1.xml" Id="Rc37b54a9ff894700" /></Relationships>
</file>

<file path=xl/worksheets/_rels/sheet3.xml.rels>&#65279;<?xml version="1.0" encoding="utf-8"?><Relationships xmlns="http://schemas.openxmlformats.org/package/2006/relationships"><Relationship Type="http://schemas.openxmlformats.org/officeDocument/2006/relationships/table" Target="/xl/tables/table2.xml" Id="Racf55277510948bf" /></Relationships>
</file>

<file path=xl/worksheets/_rels/sheet4.xml.rels>&#65279;<?xml version="1.0" encoding="utf-8"?><Relationships xmlns="http://schemas.openxmlformats.org/package/2006/relationships"><Relationship Type="http://schemas.openxmlformats.org/officeDocument/2006/relationships/table" Target="/xl/tables/table3.xml" Id="R7fd11758ec704a08" /></Relationships>
</file>

<file path=xl/worksheets/_rels/sheet6.xml.rels>&#65279;<?xml version="1.0" encoding="utf-8"?><Relationships xmlns="http://schemas.openxmlformats.org/package/2006/relationships"><Relationship Type="http://schemas.openxmlformats.org/officeDocument/2006/relationships/table" Target="/xl/tables/table4.xml" Id="R7e2101b9745441d7" /></Relationships>
</file>

<file path=xl/worksheets/_rels/sheet8.xml.rels>&#65279;<?xml version="1.0" encoding="utf-8"?><Relationships xmlns="http://schemas.openxmlformats.org/package/2006/relationships"><Relationship Type="http://schemas.openxmlformats.org/officeDocument/2006/relationships/table" Target="/xl/tables/table5.xml" Id="R42c12f66885e4207" /></Relationships>
</file>

<file path=xl/worksheets/_rels/sheet9.xml.rels>&#65279;<?xml version="1.0" encoding="utf-8"?><Relationships xmlns="http://schemas.openxmlformats.org/package/2006/relationships"><Relationship Type="http://schemas.openxmlformats.org/officeDocument/2006/relationships/table" Target="/xl/tables/table6.xml" Id="R5b932c427f824987" /></Relationships>
</file>

<file path=xl/worksheets/sheet1.xml><?xml version="1.0" encoding="utf-8"?>
<x:worksheet xmlns:x="http://schemas.openxmlformats.org/spreadsheetml/2006/main">
  <x:sheetFormatPr defaultRowHeight="15"/>
  <x:cols>
    <x:col min="1" max="1" width="28" hidden="0" customWidth="1"/>
    <x:col min="2" max="2" width="18" hidden="0" customWidth="1"/>
    <x:col min="3" max="3" width="12" hidden="0" customWidth="1"/>
    <x:col min="4" max="4" width="12" hidden="0" customWidth="1"/>
    <x:col min="6" max="6" width="28" hidden="0" customWidth="1"/>
    <x:col min="7" max="7" width="28" hidden="0" customWidth="1"/>
    <x:col min="8" max="8" width="28" hidden="0" customWidth="1"/>
  </x:cols>
  <x:sheetData>
    <x:row r="1" ht="28" customHeight="1">
      <x:c r="A1" s="21" t="str">
        <x:v>NeuroDecodeKit Roadmap Tracker: Original 20 + Current Gate + Next 20</x:v>
      </x:c>
      <x:c r="B1" s="21"/>
      <x:c r="C1" s="21"/>
      <x:c r="D1" s="21"/>
      <x:c r="E1" s="21"/>
      <x:c r="F1" s="21"/>
      <x:c r="G1" s="21"/>
      <x:c r="H1" s="21"/>
    </x:row>
    <x:row r="2">
      <x:c r="A2" s="29" t="str">
        <x:v>Core rule: keep every gate tiny, honest, measured, repeatable, and explicit about what it cannot prove.</x:v>
      </x:c>
      <x:c r="B2" s="29" t="str"/>
      <x:c r="C2" s="29" t="str"/>
      <x:c r="D2" s="29" t="str"/>
      <x:c r="E2" s="29" t="str"/>
      <x:c r="F2" s="29" t="str"/>
      <x:c r="G2" s="29" t="str"/>
      <x:c r="H2" s="29" t="str"/>
    </x:row>
    <x:row r="4" ht="30" customHeight="1">
      <x:c r="A4" s="6" t="str">
        <x:v>KPI</x:v>
      </x:c>
      <x:c r="B4" s="6" t="str">
        <x:v>Value</x:v>
      </x:c>
      <x:c r="F4" s="6" t="str">
        <x:v>How to use this tracker</x:v>
      </x:c>
      <x:c r="G4" s="6" t="str"/>
      <x:c r="H4" s="6" t="str"/>
    </x:row>
    <x:row r="5">
      <x:c r="A5" s="36" t="str">
        <x:v>Original roadmap loops</x:v>
      </x:c>
      <x:c r="B5" s="36" t="n">
        <x:f>COUNTA('Loop Tracker'!$A$2:$A$21)</x:f>
        <x:v>20</x:v>
      </x:c>
      <x:c r="F5" s="29" t="str">
        <x:v>1) Work top-down unless a blocker forces a spike.
2) Keep each gate small enough for one PR or experiment note.
3) Every gate needs an acceptance boundary.
4) Add complexity only after a simpler baseline fails.
5) Never silently download huge neurodata.
6) Record decisions in the Decision Log.
7) Read 20 as the original roadmap size; use Current numbered gate for the post-roadmap position.</x:v>
      </x:c>
      <x:c r="G5" s="29" t="str"/>
      <x:c r="H5" s="29" t="str"/>
    </x:row>
    <x:row r="6">
      <x:c r="A6" s="36" t="str">
        <x:v>Original completed</x:v>
      </x:c>
      <x:c r="B6" s="36" t="n">
        <x:v>19</x:v>
      </x:c>
      <x:c r="F6" s="29" t="str"/>
      <x:c r="G6" s="29" t="str"/>
      <x:c r="H6" s="29" t="str"/>
    </x:row>
    <x:row r="7">
      <x:c r="A7" s="36" t="str">
        <x:v>Original parked</x:v>
      </x:c>
      <x:c r="B7" s="36" t="n">
        <x:v>1</x:v>
      </x:c>
      <x:c r="F7" s="29" t="str"/>
      <x:c r="G7" s="29" t="str"/>
      <x:c r="H7" s="29" t="str"/>
    </x:row>
    <x:row r="8" ht="31.5" customHeight="1">
      <x:c r="A8" s="12" t="str">
        <x:v>Current numbered gate</x:v>
      </x:c>
      <x:c r="B8" s="12" t="str">
        <x:v>Loop 25 amended v1; authorization pending</x:v>
      </x:c>
      <x:c r="F8" s="29" t="str"/>
      <x:c r="G8" s="29" t="str"/>
      <x:c r="H8" s="29" t="str"/>
    </x:row>
    <x:row r="9">
      <x:c r="A9" s="36" t="str">
        <x:v>Original roadmap progress</x:v>
      </x:c>
      <x:c r="B9" s="41" t="n">
        <x:v>0.955</x:v>
      </x:c>
      <x:c r="F9" s="29" t="str"/>
      <x:c r="G9" s="29" t="str"/>
      <x:c r="H9" s="29" t="str"/>
    </x:row>
    <x:row r="10" ht="178.5" customHeight="1">
      <x:c r="A10" s="12" t="str">
        <x:v>Scope note</x:v>
      </x:c>
      <x:c r="B10" s="39" t="str">
        <x:v>The 20-loop KPI counts the original roadmap. Loop 25 remains the active numbered decision. Loop 26 planning research is complete but its experiment is Not Started. Loop 27 planning research selected S25 session 2 block 2 as the smallest eligible strict MEG pair: 315 metadata entries -&gt; 23 clean pairs -&gt; 16 eligible -&gt; exactly 2 selected files / 1,009,939,983 bytes. Preregistration is blocked on Loop 25 mechanics, the Loop 26 source model/controls, target isolation, and a Loop 28 final rule. All 18 Loop 27 permissions and all 20 roadmap execution flags are false; no download or payload access occurred.</x:v>
      </x:c>
      <x:c r="C10" s="39"/>
      <x:c r="D10" s="39"/>
      <x:c r="F10" s="29" t="str"/>
      <x:c r="G10" s="29" t="str"/>
      <x:c r="H10" s="29" t="str"/>
    </x:row>
    <x:row r="11">
      <x:c r="F11" s="29" t="str"/>
      <x:c r="G11" s="29" t="str"/>
      <x:c r="H11" s="29" t="str"/>
    </x:row>
    <x:row r="12" ht="30" customHeight="1">
      <x:c r="A12" s="6" t="str">
        <x:v>Original phase</x:v>
      </x:c>
      <x:c r="B12" s="6" t="str">
        <x:v>Loops</x:v>
      </x:c>
      <x:c r="C12" s="6" t="str">
        <x:v>Completed</x:v>
      </x:c>
      <x:c r="D12" s="6" t="str">
        <x:v>Progress</x:v>
      </x:c>
      <x:c r="F12" s="29" t="str"/>
      <x:c r="G12" s="29" t="str"/>
      <x:c r="H12" s="29" t="str"/>
    </x:row>
    <x:row r="13">
      <x:c r="A13" t="str">
        <x:v>Foundation</x:v>
      </x:c>
      <x:c r="B13" t="n">
        <x:f>COUNTIF('Loop Tracker'!$B$2:$B$21,A13)</x:f>
        <x:v>5</x:v>
      </x:c>
      <x:c r="C13" t="n">
        <x:f>COUNTIFS('Loop Tracker'!$B$2:$B$21,A13,'Loop Tracker'!$K$2:$K$21,"Done")</x:f>
        <x:v>5</x:v>
      </x:c>
      <x:c r="D13" s="34" t="n">
        <x:f>AVERAGE('Loop Tracker'!$S$2:$S$6)</x:f>
        <x:v>1</x:v>
      </x:c>
      <x:c r="F13" s="29" t="str"/>
      <x:c r="G13" s="29" t="str"/>
      <x:c r="H13" s="29" t="str"/>
    </x:row>
    <x:row r="14">
      <x:c r="A14" t="str">
        <x:v>Baselines</x:v>
      </x:c>
      <x:c r="B14" t="n">
        <x:f>COUNTIF('Loop Tracker'!$B$2:$B$21,A14)</x:f>
        <x:v>4</x:v>
      </x:c>
      <x:c r="C14" t="n">
        <x:f>COUNTIFS('Loop Tracker'!$B$2:$B$21,A14,'Loop Tracker'!$K$2:$K$21,"Done")</x:f>
        <x:v>4</x:v>
      </x:c>
      <x:c r="D14" s="34" t="n">
        <x:f>AVERAGE('Loop Tracker'!$S$7:$S$10)</x:f>
        <x:v>1</x:v>
      </x:c>
    </x:row>
    <x:row r="15">
      <x:c r="A15" t="str">
        <x:v>Compression</x:v>
      </x:c>
      <x:c r="B15" t="n">
        <x:f>COUNTIF('Loop Tracker'!$B$2:$B$21,A15)</x:f>
        <x:v>4</x:v>
      </x:c>
      <x:c r="C15" t="n">
        <x:v>3</x:v>
      </x:c>
      <x:c r="D15" s="34" t="n">
        <x:f>AVERAGE('Loop Tracker'!$S$11:$S$14)</x:f>
        <x:v>0.775</x:v>
      </x:c>
    </x:row>
    <x:row r="16">
      <x:c r="A16" t="str">
        <x:v>Generalization</x:v>
      </x:c>
      <x:c r="B16" t="n">
        <x:f>COUNTIF('Loop Tracker'!$B$2:$B$21,A16)</x:f>
        <x:v>3</x:v>
      </x:c>
      <x:c r="C16" t="n">
        <x:v>3</x:v>
      </x:c>
      <x:c r="D16" s="34" t="n">
        <x:v>1</x:v>
      </x:c>
    </x:row>
    <x:row r="17">
      <x:c r="A17" t="str">
        <x:v>UX &amp; Reproducibility</x:v>
      </x:c>
      <x:c r="B17" t="n">
        <x:f>COUNTIF('Loop Tracker'!$B$2:$B$21,A17)</x:f>
        <x:v>2</x:v>
      </x:c>
      <x:c r="C17" t="n">
        <x:v>2</x:v>
      </x:c>
      <x:c r="D17" s="34" t="n">
        <x:v>1</x:v>
      </x:c>
    </x:row>
    <x:row r="18">
      <x:c r="A18" t="str">
        <x:v>Expansion</x:v>
      </x:c>
      <x:c r="B18" t="n">
        <x:f>COUNTIF('Loop Tracker'!$B$2:$B$21,A18)</x:f>
        <x:v>2</x:v>
      </x:c>
      <x:c r="C18" t="n">
        <x:v>2</x:v>
      </x:c>
      <x:c r="D18" s="34" t="n">
        <x:v>1</x:v>
      </x:c>
    </x:row>
  </x:sheetData>
  <x:mergeCells>
    <x:mergeCell ref="A1:H1"/>
    <x:mergeCell ref="A2:H2"/>
    <x:mergeCell ref="F4:H4"/>
    <x:mergeCell ref="F5:H13"/>
    <x:mergeCell ref="B10:D10"/>
  </x:mergeCells>
  <x:pageMargins left="0.7" right="0.7" top="0.75" bottom="0.75" header="0.3" footer="0.3"/>
  <x:drawing xmlns:r="http://schemas.openxmlformats.org/officeDocument/2006/relationships" r:id="R9c88092bad4f40b6"/>
</x:worksheet>
</file>

<file path=xl/worksheets/sheet2.xml><?xml version="1.0" encoding="utf-8"?>
<x:worksheet xmlns:x="http://schemas.openxmlformats.org/spreadsheetml/2006/main">
  <x:sheetFormatPr defaultRowHeight="15"/>
  <x:cols>
    <x:col min="1" max="1" width="8" hidden="0" customWidth="1"/>
    <x:col min="2" max="2" width="18" hidden="0" customWidth="1"/>
    <x:col min="3" max="3" width="28" hidden="0" customWidth="1"/>
    <x:col min="4" max="4" width="38" hidden="0" customWidth="1"/>
    <x:col min="5" max="5" width="40" hidden="0" customWidth="1"/>
    <x:col min="6" max="6" width="38" hidden="0" customWidth="1"/>
    <x:col min="7" max="7" width="28" hidden="0" customWidth="1"/>
    <x:col min="8" max="8" width="32" hidden="0" customWidth="1"/>
    <x:col min="9" max="9" width="24" hidden="0" customWidth="1"/>
    <x:col min="10" max="10" width="42" hidden="0" customWidth="1"/>
    <x:col min="11" max="11" width="14" hidden="0" customWidth="1"/>
    <x:col min="12" max="12" width="10" hidden="0" customWidth="1"/>
    <x:col min="13" max="13" width="12" hidden="0" customWidth="1"/>
    <x:col min="14" max="14" width="10" hidden="0" customWidth="1"/>
    <x:col min="15" max="15" width="24" hidden="0" customWidth="1"/>
    <x:col min="16" max="16" width="12" hidden="0" customWidth="1"/>
    <x:col min="17" max="17" width="44" hidden="0" customWidth="1"/>
    <x:col min="18" max="18" width="24" hidden="0" customWidth="1"/>
    <x:col min="19" max="19" width="10" hidden="0" customWidth="1"/>
    <x:col min="20" max="20" width="18" hidden="0" customWidth="1"/>
  </x:cols>
  <x:sheetData>
    <x:row r="1" ht="30" customHeight="1">
      <x:c r="A1" s="6" t="str">
        <x:v>Loop ID</x:v>
      </x:c>
      <x:c r="B1" s="6" t="str">
        <x:v>Phase</x:v>
      </x:c>
      <x:c r="C1" s="6" t="str">
        <x:v>Loop Name</x:v>
      </x:c>
      <x:c r="D1" s="6" t="str">
        <x:v>Core Question</x:v>
      </x:c>
      <x:c r="E1" s="6" t="str">
        <x:v>Build Deliverable</x:v>
      </x:c>
      <x:c r="F1" s="6" t="str">
        <x:v>Research Deliverable</x:v>
      </x:c>
      <x:c r="G1" s="6" t="str">
        <x:v>Data Scope</x:v>
      </x:c>
      <x:c r="H1" s="6" t="str">
        <x:v>Method / Baseline</x:v>
      </x:c>
      <x:c r="I1" s="6" t="str">
        <x:v>Primary Metric</x:v>
      </x:c>
      <x:c r="J1" s="6" t="str">
        <x:v>Acceptance Gate</x:v>
      </x:c>
      <x:c r="K1" s="6" t="str">
        <x:v>Status</x:v>
      </x:c>
      <x:c r="L1" s="6" t="str">
        <x:v>Priority</x:v>
      </x:c>
      <x:c r="M1" s="6" t="str">
        <x:v>Owner</x:v>
      </x:c>
      <x:c r="N1" s="6" t="str">
        <x:v>Effort</x:v>
      </x:c>
      <x:c r="O1" s="6" t="str">
        <x:v>Dependencies</x:v>
      </x:c>
      <x:c r="P1" s="6" t="str">
        <x:v>Complexity</x:v>
      </x:c>
      <x:c r="Q1" s="6" t="str">
        <x:v>Codex Prompt Seed</x:v>
      </x:c>
      <x:c r="R1" s="6" t="str">
        <x:v>Notes</x:v>
      </x:c>
      <x:c r="S1" s="6" t="str">
        <x:v>Score</x:v>
      </x:c>
      <x:c r="T1" s="6" t="str">
        <x:v>Health</x:v>
      </x:c>
    </x:row>
    <x:row r="2" ht="68" customHeight="1">
      <x:c r="A2" s="14" t="n">
        <x:v>1</x:v>
      </x:c>
      <x:c r="B2" s="14" t="str">
        <x:v>Foundation</x:v>
      </x:c>
      <x:c r="C2" s="14" t="str">
        <x:v>PR1 Closeout + Smoke Loop</x:v>
      </x:c>
      <x:c r="D2" s="14" t="str">
        <x:v>Can one real/synthetic event-window extraction path run without hidden assumptions?</x:v>
      </x:c>
      <x:c r="E2" s="14" t="str">
        <x:v>Finalize `extract-windows`; add synthetic smoke data path; produce one `.npz` cache.</x:v>
      </x:c>
      <x:c r="F2" s="14" t="str">
        <x:v>Short note: what event fields were parsed, what was uncertain, what was dropped.</x:v>
      </x:c>
      <x:c r="G2" s="14" t="str">
        <x:v>Synthetic first; then one `.fif` + one `.mat` when available.</x:v>
      </x:c>
      <x:c r="H2" s="14" t="str">
        <x:v>Window extraction only; no model yet.</x:v>
      </x:c>
      <x:c r="I2" s="14" t="str">
        <x:v>events found / kept / dropped; output shape; reproducibility.</x:v>
      </x:c>
      <x:c r="J2" s="14" t="str">
        <x:v>Tests pass; CLI help works; one tiny cache can be produced; blockers documented.</x:v>
      </x:c>
      <x:c r="K2" s="14" t="str">
        <x:v>Done</x:v>
      </x:c>
      <x:c r="L2" s="14" t="str">
        <x:v>P0</x:v>
      </x:c>
      <x:c r="M2" s="14" t="str">
        <x:v>Codex</x:v>
      </x:c>
      <x:c r="N2" s="14" t="str">
        <x:v>S</x:v>
      </x:c>
      <x:c r="O2" s="14" t="str">
        <x:v>PR1 merged</x:v>
      </x:c>
      <x:c r="P2" s="14" t="str">
        <x:v>Low</x:v>
      </x:c>
      <x:c r="Q2" s="14" t="str">
        <x:v>Read PR1 diff, run tests, generate one synthetic cache, then attempt real one-block extraction only if files exist.</x:v>
      </x:c>
      <x:c r="R2" s="14" t="str">
        <x:v>Synthetic smoke path closed on 2026-06-29. Tests and CLI help passed; real extraction blocked until one explicit .fif/.mat pair is present.</x:v>
      </x:c>
      <x:c r="S2" s="16" t="n">
        <x:f>IF(K2="Done",1,IF(K2="Review",0.8,IF(K2="In Progress",0.5,IF(K2="Blocked",0.2,IF(K2="Parked",0.1,0)))))</x:f>
        <x:v>1</x:v>
      </x:c>
      <x:c r="T2" s="14" t="str">
        <x:f>IF(K2="Blocked","Fix blocker",IF(K2="Review","Review/merge",IF(K2="Parked","Parked",IF(AND(L2="P0",K2="Not Started"),"Next candidate",IF(K2="Done","Closed","Normal")))))</x:f>
        <x:v>Closed</x:v>
      </x:c>
    </x:row>
    <x:row r="3" ht="68" customHeight="1">
      <x:c r="A3" s="14" t="n">
        <x:v>2</x:v>
      </x:c>
      <x:c r="B3" s="14" t="str">
        <x:v>Foundation</x:v>
      </x:c>
      <x:c r="C3" s="14" t="str">
        <x:v>SpanishBCBL Manifest v1</x:v>
      </x:c>
      <x:c r="D3" s="14" t="str">
        <x:v>Can we map subject/session/block/log files before downloading anything large?</x:v>
      </x:c>
      <x:c r="E3" s="14" t="str">
        <x:v>Improve manifest parser with size, modality, subject/session/block, candidate log pairing, and warnings.</x:v>
      </x:c>
      <x:c r="F3" s="14" t="str">
        <x:v>Manifest QA note: ambiguous file patterns, missing logs, naming assumptions.</x:v>
      </x:c>
      <x:c r="G3" s="14" t="str">
        <x:v>Remote file list only; no large file download.</x:v>
      </x:c>
      <x:c r="H3" s="14" t="str">
        <x:v>Path parsing + heuristics + unit tests.</x:v>
      </x:c>
      <x:c r="I3" s="14" t="str">
        <x:v>% files classified; number of ambiguous paths.</x:v>
      </x:c>
      <x:c r="J3" s="14" t="str">
        <x:v>Manifest covers expected MEG/EEG/log file families; ambiguous rows are explicit.</x:v>
      </x:c>
      <x:c r="K3" s="14" t="str">
        <x:v>Done</x:v>
      </x:c>
      <x:c r="L3" s="14" t="str">
        <x:v>P0</x:v>
      </x:c>
      <x:c r="M3" s="14" t="str">
        <x:v>Codex</x:v>
      </x:c>
      <x:c r="N3" s="14" t="str">
        <x:v>S</x:v>
      </x:c>
      <x:c r="O3" s="14" t="str">
        <x:v>Loop 1</x:v>
      </x:c>
      <x:c r="P3" s="14" t="str">
        <x:v>Medium</x:v>
      </x:c>
      <x:c r="Q3" s="14" t="str">
        <x:v>Harden `manifest-from-paths` and produce a manifest summary with explicit unknowns rather than guessing.</x:v>
      </x:c>
      <x:c r="R3" s="14" t="str">
        <x:v>Manifest v1 closed on 2026-06-29. Rows now include family/warnings, optional sizes, and raw/log pairing summaries.</x:v>
      </x:c>
      <x:c r="S3" s="16" t="n">
        <x:f>IF(K3="Done",1,IF(K3="Review",0.8,IF(K3="In Progress",0.5,IF(K3="Blocked",0.2,IF(K3="Parked",0.1,0)))))</x:f>
        <x:v>1</x:v>
      </x:c>
      <x:c r="T3" s="14" t="str">
        <x:f>IF(K3="Blocked","Fix blocker",IF(K3="Review","Review/merge",IF(K3="Parked","Parked",IF(AND(L3="P0",K3="Not Started"),"Next candidate",IF(K3="Done","Closed","Normal")))))</x:f>
        <x:v>Closed</x:v>
      </x:c>
    </x:row>
    <x:row r="4" ht="68" customHeight="1">
      <x:c r="A4" s="14" t="n">
        <x:v>3</x:v>
      </x:c>
      <x:c r="B4" s="14" t="str">
        <x:v>Foundation</x:v>
      </x:c>
      <x:c r="C4" s="14" t="str">
        <x:v>Safe Tiny-Shard Selector</x:v>
      </x:c>
      <x:c r="D4" s="14" t="str">
        <x:v>Can a user request the smallest meaningful shard without accidentally downloading the universe?</x:v>
      </x:c>
      <x:c r="E4" s="14" t="str">
        <x:v>Add size-aware selection, max-files, max-total-GB, and required `--execute` for downloads.</x:v>
      </x:c>
      <x:c r="F4" s="14" t="str">
        <x:v>Tiny-shard selection policy and default safety limits.</x:v>
      </x:c>
      <x:c r="G4" s="14" t="str">
        <x:v>File manifest + selected MEG/log files.</x:v>
      </x:c>
      <x:c r="H4" s="14" t="str">
        <x:v>Selection constraints and dry-run report.</x:v>
      </x:c>
      <x:c r="I4" s="14" t="str">
        <x:v>planned GB; file count; expected cache shape.</x:v>
      </x:c>
      <x:c r="J4" s="14" t="str">
        <x:v>Dry run prints exact files and size estimate; real download requires explicit confirmation.</x:v>
      </x:c>
      <x:c r="K4" s="14" t="str">
        <x:v>Done</x:v>
      </x:c>
      <x:c r="L4" s="14" t="str">
        <x:v>P0</x:v>
      </x:c>
      <x:c r="M4" s="14" t="str">
        <x:v>Codex</x:v>
      </x:c>
      <x:c r="N4" s="14" t="str">
        <x:v>S</x:v>
      </x:c>
      <x:c r="O4" s="14" t="str">
        <x:v>Loop 2</x:v>
      </x:c>
      <x:c r="P4" s="14" t="str">
        <x:v>Low</x:v>
      </x:c>
      <x:c r="Q4" s="14" t="str">
        <x:v>Make the tiny selector safety-first: max bytes, max files, dry-run default, and clear planned download report.</x:v>
      </x:c>
      <x:c r="R4" s="14" t="str">
        <x:v>Safe selector closed on 2026-06-29. Plans now include caps, exact paths, known bytes, missing-size warnings, dry-run default, and execute guards.</x:v>
      </x:c>
      <x:c r="S4" s="16" t="n">
        <x:f>IF(K4="Done",1,IF(K4="Review",0.8,IF(K4="In Progress",0.5,IF(K4="Blocked",0.2,IF(K4="Parked",0.1,0)))))</x:f>
        <x:v>1</x:v>
      </x:c>
      <x:c r="T4" s="14" t="str">
        <x:f>IF(K4="Blocked","Fix blocker",IF(K4="Review","Review/merge",IF(K4="Parked","Parked",IF(AND(L4="P0",K4="Not Started"),"Next candidate",IF(K4="Done","Closed","Normal")))))</x:f>
        <x:v>Closed</x:v>
      </x:c>
    </x:row>
    <x:row r="5" ht="68" customHeight="1">
      <x:c r="A5" s="14" t="n">
        <x:v>4</x:v>
      </x:c>
      <x:c r="B5" s="14" t="str">
        <x:v>Foundation</x:v>
      </x:c>
      <x:c r="C5" s="14" t="str">
        <x:v>B2Q-mini Cache v0</x:v>
      </x:c>
      <x:c r="D5" s="14" t="str">
        <x:v>Can one selected block become a reusable tiny cache with enough provenance to trust later results?</x:v>
      </x:c>
      <x:c r="E5" s="14" t="str">
        <x:v>Create `.npz` cache schema v0 and optional metadata sidecar JSON.</x:v>
      </x:c>
      <x:c r="F5" s="14" t="str">
        <x:v>Cache schema spec: windows, labels, event metadata, sfreq, channels, source paths, params.</x:v>
      </x:c>
      <x:c r="G5" s="14" t="str">
        <x:v>One synthetic cache; optional one real block.</x:v>
      </x:c>
      <x:c r="H5" s="14" t="str">
        <x:v>NPZ cache + JSON metadata.</x:v>
      </x:c>
      <x:c r="I5" s="14" t="str">
        <x:v>cache size; load time; shape; label coverage.</x:v>
      </x:c>
      <x:c r="J5" s="14" t="str">
        <x:v>Cache loads with one function; metadata explains every transformation.</x:v>
      </x:c>
      <x:c r="K5" s="14" t="str">
        <x:v>Done</x:v>
      </x:c>
      <x:c r="L5" s="14" t="str">
        <x:v>P0</x:v>
      </x:c>
      <x:c r="M5" s="14" t="str">
        <x:v>Codex</x:v>
      </x:c>
      <x:c r="N5" s="14" t="str">
        <x:v>M</x:v>
      </x:c>
      <x:c r="O5" s="14" t="str">
        <x:v>Loops 1-3</x:v>
      </x:c>
      <x:c r="P5" s="14" t="str">
        <x:v>Medium</x:v>
      </x:c>
      <x:c r="Q5" s="14" t="str">
        <x:v>Define the first stable tiny-cache schema and add a `load-cache` smoke command or test.</x:v>
      </x:c>
      <x:c r="R5" s="14" t="str">
        <x:v>Cache schema v0 closed on 2026-06-29. NPZ caches now load through one schema-aware function with validation, transformations, warnings, and sidecar metadata.</x:v>
      </x:c>
      <x:c r="S5" s="16" t="n">
        <x:f>IF(K5="Done",1,IF(K5="Review",0.8,IF(K5="In Progress",0.5,IF(K5="Blocked",0.2,IF(K5="Parked",0.1,0)))))</x:f>
        <x:v>1</x:v>
      </x:c>
      <x:c r="T5" s="14" t="str">
        <x:f>IF(K5="Blocked","Fix blocker",IF(K5="Review","Review/merge",IF(K5="Parked","Parked",IF(AND(L5="P0",K5="Not Started"),"Next candidate",IF(K5="Done","Closed","Normal")))))</x:f>
        <x:v>Closed</x:v>
      </x:c>
    </x:row>
    <x:row r="6" ht="68" customHeight="1">
      <x:c r="A6" s="14" t="n">
        <x:v>5</x:v>
      </x:c>
      <x:c r="B6" s="14" t="str">
        <x:v>Foundation</x:v>
      </x:c>
      <x:c r="C6" s="14" t="str">
        <x:v>Metrics + Error Report v1</x:v>
      </x:c>
      <x:c r="D6" s="14" t="str">
        <x:v>Can every run produce an honest report without needing a notebook?</x:v>
      </x:c>
      <x:c r="E6" s="14" t="str">
        <x:v>Add `neurodecode report` that computes CER, WER, keyboard distance, and simple run metadata.</x:v>
      </x:c>
      <x:c r="F6" s="14" t="str">
        <x:v>Metric definitions and when each metric is misleading.</x:v>
      </x:c>
      <x:c r="G6" s="14" t="str">
        <x:v>Synthetic predictions; later tiny real predictions.</x:v>
      </x:c>
      <x:c r="H6" s="14" t="str">
        <x:v>CER/WER + keyboard distance diagnostics.</x:v>
      </x:c>
      <x:c r="I6" s="14" t="str">
        <x:v>CER; WER; avg keyboard distance; coverage.</x:v>
      </x:c>
      <x:c r="J6" s="14" t="str">
        <x:v>Report runs from CLI and writes JSON/Markdown; metric tests pass.</x:v>
      </x:c>
      <x:c r="K6" s="14" t="str">
        <x:v>Done</x:v>
      </x:c>
      <x:c r="L6" s="14" t="str">
        <x:v>P0</x:v>
      </x:c>
      <x:c r="M6" s="14" t="str">
        <x:v>Codex</x:v>
      </x:c>
      <x:c r="N6" s="14" t="str">
        <x:v>S</x:v>
      </x:c>
      <x:c r="O6" s="14" t="str">
        <x:v>Loop 4</x:v>
      </x:c>
      <x:c r="P6" s="14" t="str">
        <x:v>Low</x:v>
      </x:c>
      <x:c r="Q6" s="14" t="str">
        <x:v>Build a report command that turns predictions + targets into a simple JSON/Markdown scorecard.</x:v>
      </x:c>
      <x:c r="R6" s="14" t="str"/>
      <x:c r="S6" s="16" t="n">
        <x:f>IF(K6="Done",1,IF(K6="Review",0.8,IF(K6="In Progress",0.5,IF(K6="Blocked",0.2,IF(K6="Parked",0.1,0)))))</x:f>
        <x:v>1</x:v>
      </x:c>
      <x:c r="T6" s="14" t="str">
        <x:f>IF(K6="Blocked","Fix blocker",IF(K6="Review","Review/merge",IF(K6="Parked","Parked",IF(AND(L6="P0",K6="Not Started"),"Next candidate",IF(K6="Done","Closed","Normal")))))</x:f>
        <x:v>Closed</x:v>
      </x:c>
    </x:row>
    <x:row r="7" ht="68" customHeight="1">
      <x:c r="A7" s="14" t="n">
        <x:v>6</x:v>
      </x:c>
      <x:c r="B7" s="14" t="str">
        <x:v>Baselines</x:v>
      </x:c>
      <x:c r="C7" s="14" t="str">
        <x:v>LM-only / Prior-only Baseline</x:v>
      </x:c>
      <x:c r="D7" s="14" t="str">
        <x:v>How much performance comes from language priors before using brain data?</x:v>
      </x:c>
      <x:c r="E7" s="14" t="str">
        <x:v>Implement baseline that predicts from label distribution, prompts, or known sentence set without neural signal.</x:v>
      </x:c>
      <x:c r="F7" s="14" t="str">
        <x:v>Baseline note: what a model can guess without MEG/EEG.</x:v>
      </x:c>
      <x:c r="G7" s="14" t="str">
        <x:v>Synthetic and tiny cache labels.</x:v>
      </x:c>
      <x:c r="H7" s="14" t="str">
        <x:v>Prior-only baseline; optional n-gram/known-corpus baseline.</x:v>
      </x:c>
      <x:c r="I7" s="14" t="str">
        <x:v>CER/WER vs neural models later.</x:v>
      </x:c>
      <x:c r="J7" s="14" t="str">
        <x:v>Baseline exists and is reported beside every neural result.</x:v>
      </x:c>
      <x:c r="K7" s="14" t="str">
        <x:v>Done</x:v>
      </x:c>
      <x:c r="L7" s="14" t="str">
        <x:v>P0</x:v>
      </x:c>
      <x:c r="M7" s="14" t="str">
        <x:v>Codex</x:v>
      </x:c>
      <x:c r="N7" s="14" t="str">
        <x:v>S</x:v>
      </x:c>
      <x:c r="O7" s="14" t="str">
        <x:v>Loop 5</x:v>
      </x:c>
      <x:c r="P7" s="14" t="str">
        <x:v>Low</x:v>
      </x:c>
      <x:c r="Q7" s="14" t="str">
        <x:v>Implement an intentionally dumb but critical no-brain baseline and wire it into the report.</x:v>
      </x:c>
      <x:c r="R7" s="14" t="str">
        <x:v>Prior-only baseline closed on 2026-07-01. Report warns no neural signal used.</x:v>
      </x:c>
      <x:c r="S7" s="16" t="n">
        <x:f>IF(K7="Done",1,IF(K7="Review",0.8,IF(K7="In Progress",0.5,IF(K7="Blocked",0.2,IF(K7="Parked",0.1,0)))))</x:f>
        <x:v>1</x:v>
      </x:c>
      <x:c r="T7" s="14" t="str">
        <x:f>IF(K7="Blocked","Fix blocker",IF(K7="Review","Review/merge",IF(K7="Parked","Parked",IF(AND(L7="P0",K7="Not Started"),"Next candidate",IF(K7="Done","Closed","Normal")))))</x:f>
        <x:v>Closed</x:v>
      </x:c>
    </x:row>
    <x:row r="8" ht="68" customHeight="1">
      <x:c r="A8" s="14" t="n">
        <x:v>7</x:v>
      </x:c>
      <x:c r="B8" s="14" t="str">
        <x:v>Baselines</x:v>
      </x:c>
      <x:c r="C8" s="14" t="str">
        <x:v>Template / Nearest-Centroid Baseline</x:v>
      </x:c>
      <x:c r="D8" s="14" t="str">
        <x:v>Is there separable signal in the windows before deep learning?</x:v>
      </x:c>
      <x:c r="E8" s="14" t="str">
        <x:v>Train/eval nearest-centroid or template classifier over windows/features.</x:v>
      </x:c>
      <x:c r="F8" s="14" t="str">
        <x:v>Result note: which labels/classes are separable and which are noise.</x:v>
      </x:c>
      <x:c r="G8" s="14" t="str">
        <x:v>B2Q-mini cache.</x:v>
      </x:c>
      <x:c r="H8" s="14" t="str">
        <x:v>Mean features, templates, centroid distance.</x:v>
      </x:c>
      <x:c r="I8" s="14" t="str">
        <x:v>accuracy; CER proxy if labels map to chars; confusion table.</x:v>
      </x:c>
      <x:c r="J8" s="14" t="str">
        <x:v>Model trains in seconds and produces a baseline report.</x:v>
      </x:c>
      <x:c r="K8" s="14" t="str">
        <x:v>Done</x:v>
      </x:c>
      <x:c r="L8" s="14" t="str">
        <x:v>P1</x:v>
      </x:c>
      <x:c r="M8" s="14" t="str">
        <x:v>Codex</x:v>
      </x:c>
      <x:c r="N8" s="14" t="str">
        <x:v>S</x:v>
      </x:c>
      <x:c r="O8" s="14" t="str">
        <x:v>Loops 4-5</x:v>
      </x:c>
      <x:c r="P8" s="14" t="str">
        <x:v>Low</x:v>
      </x:c>
      <x:c r="Q8" s="14" t="str">
        <x:v>Build a tiny transparent classifier before any neural net. Make it boring and trustworthy.</x:v>
      </x:c>
      <x:c r="R8" s="14" t="str">
        <x:v>Template baseline closed on 2026-07-01. Stratified synthetic holdout report warns synthetic data only.</x:v>
      </x:c>
      <x:c r="S8" s="16" t="n">
        <x:f>IF(K8="Done",1,IF(K8="Review",0.8,IF(K8="In Progress",0.5,IF(K8="Blocked",0.2,IF(K8="Parked",0.1,0)))))</x:f>
        <x:v>1</x:v>
      </x:c>
      <x:c r="T8" s="14" t="str">
        <x:f>IF(K8="Blocked","Fix blocker",IF(K8="Review","Review/merge",IF(K8="Parked","Parked",IF(AND(L8="P0",K8="Not Started"),"Next candidate",IF(K8="Done","Closed","Normal")))))</x:f>
        <x:v>Closed</x:v>
      </x:c>
    </x:row>
    <x:row r="9" ht="68" customHeight="1">
      <x:c r="A9" s="14" t="n">
        <x:v>8</x:v>
      </x:c>
      <x:c r="B9" s="14" t="str">
        <x:v>Baselines</x:v>
      </x:c>
      <x:c r="C9" s="14" t="str">
        <x:v>Tiny Conv / EEGNet-style Baseline</x:v>
      </x:c>
      <x:c r="D9" s="14" t="str">
        <x:v>Can a small neural model beat transparent baselines on the tiny loop?</x:v>
      </x:c>
      <x:c r="E9" s="14" t="str">
        <x:v>Add PyTorch optional tiny ConvNet baseline with CPU-friendly defaults.</x:v>
      </x:c>
      <x:c r="F9" s="14" t="str">
        <x:v>Model card: params, training time, expected failure modes.</x:v>
      </x:c>
      <x:c r="G9" s="14" t="str">
        <x:v>B2Q-mini cache.</x:v>
      </x:c>
      <x:c r="H9" s="14" t="str">
        <x:v>Small ConvNet / EEGNet-inspired classifier.</x:v>
      </x:c>
      <x:c r="I9" s="14" t="str">
        <x:v>validation accuracy; CER/WER if sequence labels exist.</x:v>
      </x:c>
      <x:c r="J9" s="14" t="str">
        <x:v>Trains on synthetic data in CI-like smoke mode; real data path documented.</x:v>
      </x:c>
      <x:c r="K9" s="14" t="str">
        <x:v>Done</x:v>
      </x:c>
      <x:c r="L9" s="14" t="str">
        <x:v>P1</x:v>
      </x:c>
      <x:c r="M9" s="14" t="str">
        <x:v>Codex</x:v>
      </x:c>
      <x:c r="N9" s="14" t="str">
        <x:v>M</x:v>
      </x:c>
      <x:c r="O9" s="14" t="str">
        <x:v>Loop 7</x:v>
      </x:c>
      <x:c r="P9" s="14" t="str">
        <x:v>Medium</x:v>
      </x:c>
      <x:c r="Q9" s="14" t="str">
        <x:v>Add a tiny neural baseline without making the package heavy; optional deps and fast smoke test only.</x:v>
      </x:c>
      <x:c r="R9" s="14" t="str">
        <x:v>Tiny Conv baseline closed on 2026-07-01. Torch training smoke is present but skipped locally because the ml extra is not installed.</x:v>
      </x:c>
      <x:c r="S9" s="16" t="n">
        <x:f>IF(K9="Done",1,IF(K9="Review",0.8,IF(K9="In Progress",0.5,IF(K9="Blocked",0.2,IF(K9="Parked",0.1,0)))))</x:f>
        <x:v>1</x:v>
      </x:c>
      <x:c r="T9" s="14" t="str">
        <x:f>IF(K9="Blocked","Fix blocker",IF(K9="Review","Review/merge",IF(K9="Parked","Parked",IF(AND(L9="P0",K9="Not Started"),"Next candidate",IF(K9="Done","Closed","Normal")))))</x:f>
        <x:v>Closed</x:v>
      </x:c>
    </x:row>
    <x:row r="10" ht="108" customHeight="1">
      <x:c r="A10" s="14" t="n">
        <x:v>9</x:v>
      </x:c>
      <x:c r="B10" s="14" t="str">
        <x:v>Baselines</x:v>
      </x:c>
      <x:c r="C10" s="14" t="str">
        <x:v>CTC Character Decoder Scaffold</x:v>
      </x:c>
      <x:c r="D10" s="14" t="str">
        <x:v>Can a resource-bounded continuous sentence decoder learn sequence alignment without keystroke timing?</x:v>
      </x:c>
      <x:c r="E10" s="14" t="str">
        <x:v>Add a continuous sentence-window cache interface and optional tiny CTC model; prove synthetic training, then run one validated S21 block smoke.</x:v>
      </x:c>
      <x:c r="F10" s="14" t="str">
        <x:v>CTC feasibility and official Brain2Qwerty v2 mapping note, including data, compute, latency, and hardware gaps.</x:v>
      </x:c>
      <x:c r="G10" s="14" t="str">
        <x:v>Synthetic sequence data plus validated S21 session-1 block1: 66 trials; 16-channel extraction smoke.</x:v>
      </x:c>
      <x:c r="H10" s="14" t="str">
        <x:v>Tiny Conv/CTC encoder with padded variable-length sentence batches; CPU-safe smoke defaults.</x:v>
      </x:c>
      <x:c r="I10" s="14" t="str">
        <x:v>CER; blank rate; input/target lengths; runtime; peak memory; cache bytes.</x:v>
      </x:c>
      <x:c r="J10" s="14" t="str">
        <x:v>Synthetic CTC loop trains; one sentence-level real cache validates shapes and labels; no real decoding-performance claim.</x:v>
      </x:c>
      <x:c r="K10" s="14" t="str">
        <x:v>Done</x:v>
      </x:c>
      <x:c r="L10" s="14" t="str">
        <x:v>P1</x:v>
      </x:c>
      <x:c r="M10" s="14" t="str">
        <x:v>Codex</x:v>
      </x:c>
      <x:c r="N10" s="14" t="str">
        <x:v>M</x:v>
      </x:c>
      <x:c r="O10" s="14" t="str">
        <x:v>Loop 8 plus Loop 8.5 real alignment gate</x:v>
      </x:c>
      <x:c r="P10" s="14" t="str">
        <x:v>Medium</x:v>
      </x:c>
      <x:c r="Q10" s="14" t="str">
        <x:v>Build a CPU-bounded continuous sentence cache and minimal CTC scaffold from the validated S21 block1. Keep Torch optional, preserve the no-brain comparator, and report shape, bytes, runtime, memory, CER, and blank rate.</x:v>
      </x:c>
      <x:c r="R10" s="14" t="str">
        <x:v>Loop 9 closed 2026-07-10: b2q-sentence-cache v0; synthetic CTC 20/20 seeds at CER 0.0 with one training-only restart; prior CER 0.7068; real S21 cache 66x16x617, 1.6 MB, 6.24 sec, about 515 MiB peak RSS. No real model score.</x:v>
      </x:c>
      <x:c r="S10" s="16" t="n">
        <x:f>IF(K10="Done",1,IF(K10="Review",0.8,IF(K10="In Progress",0.5,IF(K10="Blocked",0.2,IF(K10="Parked",0.1,0)))))</x:f>
        <x:v>1</x:v>
      </x:c>
      <x:c r="T10" s="14" t="str">
        <x:f>IF(K10="Blocked","Fix blocker",IF(K10="Review","Review/merge",IF(K10="Parked","Parked",IF(AND(L10="P0",K10="Not Started"),"Next candidate",IF(K10="Done","Closed","Normal")))))</x:f>
        <x:v>Closed</x:v>
      </x:c>
    </x:row>
    <x:row r="11" ht="120" customHeight="1">
      <x:c r="A11" s="14" t="n">
        <x:v>10</x:v>
      </x:c>
      <x:c r="B11" s="14" t="str">
        <x:v>Compression</x:v>
      </x:c>
      <x:c r="C11" s="14" t="str">
        <x:v>Sampling-Rate Sweep</x:v>
      </x:c>
      <x:c r="D11" s="14" t="str">
        <x:v>How low can sampling rate go before the tiny-loop signal breaks?</x:v>
      </x:c>
      <x:c r="E11" s="14" t="str">
        <x:v>Add experiment runner for 1000/500/250/100/50 Hz or available equivalents.</x:v>
      </x:c>
      <x:c r="F11" s="14" t="str">
        <x:v>Resource curve: cache bytes, timepoints, effective bandwidth, timing grid, signal summaries, and CTC feasibility; no retained-accuracy claim.</x:v>
      </x:c>
      <x:c r="G11" s="14" t="str">
        <x:v>Validated S21 block1, same 16 channels, 100/50/25 Hz; no additional download.</x:v>
      </x:c>
      <x:c r="H11" s="14" t="str">
        <x:v>Sequential isolated sentence-cache workers plus strict cross-rate identity and feasibility audit.</x:v>
      </x:c>
      <x:c r="I11" s="14" t="str">
        <x:v>cache bytes; runtime; peak RSS; bandwidth; boundary quantization; signal RMS/clamp; stride-one and official v2 CTC margins</x:v>
      </x:c>
      <x:c r="J11" s="14" t="str">
        <x:v>One JSON/Markdown report compares identical 66-row, 16-channel 100/50/25 Hz caches and audits the official temporal contract; no accuracy winner is selected.</x:v>
      </x:c>
      <x:c r="K11" s="14" t="str">
        <x:v>Done</x:v>
      </x:c>
      <x:c r="L11" s="14" t="str">
        <x:v>P1</x:v>
      </x:c>
      <x:c r="M11" s="14" t="str">
        <x:v>Codex</x:v>
      </x:c>
      <x:c r="N11" s="14" t="str">
        <x:v>M</x:v>
      </x:c>
      <x:c r="O11" s="14" t="str">
        <x:v>Loop 9 real sentence cache</x:v>
      </x:c>
      <x:c r="P11" s="14" t="str">
        <x:v>Medium</x:v>
      </x:c>
      <x:c r="Q11" s="14" t="str">
        <x:v>Run isolated one-thread 100/50/25 Hz sentence-cache extraction from validated S21 block1; verify exact identity and report resource, bandwidth, timing, signal, and CTC constraints without training.</x:v>
      </x:c>
      <x:c r="R11" s="14" t="str">
        <x:v>Loop 10 closed 2026-07-10. 100/50/25 Hz caches: 1,663,209 / 846,334 / 431,451 bytes; final run 4.121 / 3.586 / 3.539 sec. Stride-one: all 66/66 feasible. Official v2 kernel16/stride4: 66/66, 66/66, 0/66. No accuracy winner selected.</x:v>
      </x:c>
      <x:c r="S11" s="16" t="n">
        <x:f>IF(K11="Done",1,IF(K11="Review",0.8,IF(K11="In Progress",0.5,IF(K11="Blocked",0.2,IF(K11="Parked",0.1,0)))))</x:f>
        <x:v>1</x:v>
      </x:c>
      <x:c r="T11" s="14" t="str">
        <x:f>IF(K11="Blocked","Fix blocker",IF(K11="Review","Review/merge",IF(K11="Parked","Parked",IF(AND(L11="P0",K11="Not Started"),"Next candidate",IF(K11="Done","Closed","Normal")))))</x:f>
        <x:v>Closed</x:v>
      </x:c>
    </x:row>
    <x:row r="12" ht="120" customHeight="1">
      <x:c r="A12" s="14" t="n">
        <x:v>11</x:v>
      </x:c>
      <x:c r="B12" s="14" t="str">
        <x:v>Compression</x:v>
      </x:c>
      <x:c r="C12" s="14" t="str">
        <x:v>Channel / Sensor Subset Sweep</x:v>
      </x:c>
      <x:c r="D12" s="14" t="str">
        <x:v>Can explicit geometry-aware channel subsets reduce local input cost while preserving distinct signal proxies?</x:v>
      </x:c>
      <x:c r="E12" s="14" t="str">
        <x:v>Add channel geometry provenance and `channel-subset-sweep` with spatial-FPS, variance, seeded-random, and file-order strategies plus a 128 MiB cap.</x:v>
      </x:c>
      <x:c r="F12" s="14" t="str">
        <x:v>Real S21 channel-subset report anchored to the official v2 random-sensor ablation, with proxy and hardware caveats.</x:v>
      </x:c>
      <x:c r="G12" s="14" t="str">
        <x:v>Validated S21 session-1 block1: 66 sentences, 102 magnetometers, 100 Hz; no additional download.</x:v>
      </x:c>
      <x:c r="H12" s="14" t="str">
        <x:v>Nested 76/51/25/16/8-channel subsets using spatial FPS, same-block post-scaling variance, seed-17 random, and first-order controls.</x:v>
      </x:c>
      <x:c r="I12" s="14" t="str">
        <x:v>cache bytes; runtime/RSS; marginal variance share; mean/max spatial coverage; set overlap; exact trial/text/timing identity; no decoder score</x:v>
      </x:c>
      <x:c r="J12" s="14" t="str">
        <x:v>One finite-geometry 102-mag base and 20 subset caches stay under 128 MiB, preserve exact identity and signal slices, and yield candidates without claiming an accuracy winner.</x:v>
      </x:c>
      <x:c r="K12" s="14" t="str">
        <x:v>Done</x:v>
      </x:c>
      <x:c r="L12" s="14" t="str">
        <x:v>P1</x:v>
      </x:c>
      <x:c r="M12" s="14" t="str">
        <x:v>Codex</x:v>
      </x:c>
      <x:c r="N12" s="14" t="str">
        <x:v>M</x:v>
      </x:c>
      <x:c r="O12" s="14" t="str">
        <x:v>Loop 10 100 Hz cache plus validated S21 raw geometry</x:v>
      </x:c>
      <x:c r="P12" s="14" t="str">
        <x:v>Medium</x:v>
      </x:c>
      <x:c r="Q12" s="14" t="str">
        <x:v>Extract one 102-magnetometer 100 Hz S21 base cache with geometry before preload. Run nested 76/51/25/16/8 spatial-FPS, variance, random, and first-order subsets under 128 MiB; report resources, proxy metrics, overlaps, and exact identity without an accuracy or OPM claim.</x:v>
      </x:c>
      <x:c r="R12" s="14" t="str">
        <x:v>Closed 2026-07-10. Base 66x102x617: 10,602,568 B, 12.004 s, 1,679,278,080 B peak RSS. Sweep: 3.492 s and 73,683,875 B. At 16 channels, FPS mean/max coverage was 34.9/69.8 mm with 14.8% variance share; variance was 56.6/140.3 mm with 21.3%; first-order was 102.2/219.3 mm. Exact identities passed; no accuracy winner.</x:v>
      </x:c>
      <x:c r="S12" s="16" t="n">
        <x:f>IF(K12="Done",1,IF(K12="Review",0.8,IF(K12="In Progress",0.5,IF(K12="Blocked",0.2,IF(K12="Parked",0.1,0)))))</x:f>
        <x:v>1</x:v>
      </x:c>
      <x:c r="T12" s="14" t="str">
        <x:f>IF(K12="Blocked","Fix blocker",IF(K12="Review","Review/merge",IF(K12="Parked","Parked",IF(AND(L12="P0",K12="Not Started"),"Next candidate",IF(K12="Done","Closed","Normal")))))</x:f>
        <x:v>Closed</x:v>
      </x:c>
    </x:row>
    <x:row r="13" ht="68" customHeight="1">
      <x:c r="A13" s="14" t="n">
        <x:v>12</x:v>
      </x:c>
      <x:c r="B13" s="14" t="str">
        <x:v>Compression</x:v>
      </x:c>
      <x:c r="C13" s="14" t="str">
        <x:v>Precision + Storage Sweep</x:v>
      </x:c>
      <x:c r="D13" s="14" t="str">
        <x:v>Can we reduce local cache and load cost while bounding signal distortion before any decoder test?</x:v>
      </x:c>
      <x:c r="E13" s="14" t="str">
        <x:v>Add a representation runner for float32, float16, and calibrated integer/serialization variants without changing the sentence-cache contract.</x:v>
      </x:c>
      <x:c r="F13" s="14" t="str">
        <x:v>Storage/distortion report covering bytes, encode/load time, reconstruction error, saturation, and proof limits.</x:v>
      </x:c>
      <x:c r="G13" s="14" t="str">
        <x:v>Fixed Loop 11 102-mag base plus 16-channel FPS and variance candidate caches; no new download.</x:v>
      </x:c>
      <x:c r="H13" s="14" t="str">
        <x:v>Deterministic encode/decode variants over identical arrays; no model training.</x:v>
      </x:c>
      <x:c r="I13" s="14" t="str">
        <x:v>bytes; compression ratio; encode/load time; reconstruction RMSE/max error; saturation; exact metadata identity</x:v>
      </x:c>
      <x:c r="J13" s="14" t="str">
        <x:v>At least three representations preserve schema and trial identity, stay within an explicit output cap, and report distortion without declaring retained decoder accuracy.</x:v>
      </x:c>
      <x:c r="K13" s="14" t="str">
        <x:v>Done</x:v>
      </x:c>
      <x:c r="L13" s="14" t="str">
        <x:v>P1</x:v>
      </x:c>
      <x:c r="M13" s="14" t="str">
        <x:v>Codex</x:v>
      </x:c>
      <x:c r="N13" s="14" t="str">
        <x:v>M</x:v>
      </x:c>
      <x:c r="O13" s="14" t="str">
        <x:v>Loop 11 geometry-aware subset caches</x:v>
      </x:c>
      <x:c r="P13" s="14" t="str">
        <x:v>Medium</x:v>
      </x:c>
      <x:c r="Q13" s="14" t="str">
        <x:v>On fixed Loop 11 base, FPS-16, and variance-16 caches, compare float32, float16, and calibrated integer/serialization variants. Record bytes, encode/load time, reconstruction RMSE/max error, saturation, and metadata identity; do not train or call a format accuracy-preserving.</x:v>
      </x:c>
      <x:c r="R13" s="14" t="str">
        <x:v>Closed 2026-07-10. Five encodings across base/FPS-16/variance-16 produced 15 exact-identity artifacts in 34.4 MiB. Qint16 was 49.84% smaller with worst relative RMSE 0.003693%; qint8 was 80.75% smaller with worst relative RMSE 0.9531%. No clipping or decoder accuracy claim; float32 remains default.</x:v>
      </x:c>
      <x:c r="S13" s="16" t="n">
        <x:f>IF(K13="Done",1,IF(K13="Review",0.8,IF(K13="In Progress",0.5,IF(K13="Blocked",0.2,IF(K13="Parked",0.1,0)))))</x:f>
        <x:v>1</x:v>
      </x:c>
      <x:c r="T13" s="14" t="str">
        <x:f>IF(K13="Blocked","Fix blocker",IF(K13="Review","Review/merge",IF(K13="Parked","Parked",IF(AND(L13="P0",K13="Not Started"),"Next candidate",IF(K13="Done","Closed","Normal")))))</x:f>
        <x:v>Closed</x:v>
      </x:c>
    </x:row>
    <x:row r="14" ht="68" customHeight="1">
      <x:c r="A14" s="14" t="n">
        <x:v>13</x:v>
      </x:c>
      <x:c r="B14" s="14" t="str">
        <x:v>Compression</x:v>
      </x:c>
      <x:c r="C14" s="14" t="str">
        <x:v>Measured Lazy-Backend Gate</x:v>
      </x:c>
      <x:c r="D14" s="14" t="str">
        <x:v>Is current NPZ complete/partial access materially limiting enough to justify another backend?</x:v>
      </x:c>
      <x:c r="E14" s="14" t="str">
        <x:v>Add an isolated NPZ access benchmark with explicit thresholds and only build another backend after a failed gate.</x:v>
      </x:c>
      <x:c r="F14" s="14" t="str">
        <x:v>Backend decision note separating relative partial-read inefficiency from absolute local cost, including a no-build outcome.</x:v>
      </x:c>
      <x:c r="G14" s="14" t="str">
        <x:v>Nine fixed Loop 11/12 real caches; no raw FIF read, new data download, or signal-cache write.</x:v>
      </x:c>
      <x:c r="H14" s="14" t="str">
        <x:v>Fresh one-thread workers for full, 1-row, and 8-row standard/packed NPZ access with exact decoded hashes.</x:v>
      </x:c>
      <x:c r="I14" s="14" t="str">
        <x:v>full/partial median time; peak RSS; compressed bytes; exact identity; implementation overhead</x:v>
      </x:c>
      <x:c r="J14" s="14" t="str">
        <x:v>A backend is built only after a failed declared gate; otherwise NPZ stays default with durable revisit triggers.</x:v>
      </x:c>
      <x:c r="K14" s="14" t="str">
        <x:v>Parked</x:v>
      </x:c>
      <x:c r="L14" s="14" t="str">
        <x:v>P2</x:v>
      </x:c>
      <x:c r="M14" s="14" t="str">
        <x:v>Codex</x:v>
      </x:c>
      <x:c r="N14" s="14" t="str">
        <x:v>M</x:v>
      </x:c>
      <x:c r="O14" s="14" t="str">
        <x:v>Loop 12</x:v>
      </x:c>
      <x:c r="P14" s="14" t="str">
        <x:v>Medium</x:v>
      </x:c>
      <x:c r="Q14" s="14" t="str">
        <x:v>Run the bounded NPZ access gate first. Record relative inefficiency and absolute time/memory/size separately; add no backend without a failed measured gate and exact semantic-parity plan.</x:v>
      </x:c>
      <x:c r="R14" s="14" t="str">
        <x:v>Closed 2026-07-10 as Parked. 9/9 caches passed exact hashes and all budgets. Largest 10.1 MiB; slowest full/partial 60.386/53.634 ms; highest worker RSS 140.6 MiB. One-row member amplification is 66x, but absolute cost is below budget. Zarr was not installed; proceed to Loop 14.</x:v>
      </x:c>
      <x:c r="S14" s="16" t="n">
        <x:f>IF(K14="Done",1,IF(K14="Review",0.8,IF(K14="In Progress",0.5,IF(K14="Blocked",0.2,IF(K14="Parked",0.1,0)))))</x:f>
        <x:v>0.1</x:v>
      </x:c>
      <x:c r="T14" s="14" t="str">
        <x:f>IF(K14="Blocked","Fix blocker",IF(K14="Review","Review/merge",IF(K14="Parked","Parked",IF(AND(L14="P0",K14="Not Started"),"Next candidate",IF(K14="Done","Closed","Normal")))))</x:f>
        <x:v>Parked</x:v>
      </x:c>
    </x:row>
    <x:row r="15" ht="132" customHeight="1">
      <x:c r="A15" s="14" t="n">
        <x:v>14</x:v>
      </x:c>
      <x:c r="B15" s="14" t="str">
        <x:v>Generalization</x:v>
      </x:c>
      <x:c r="C15" s="14" t="str">
        <x:v>Split Protocol v1</x:v>
      </x:c>
      <x:c r="D15" s="14" t="str">
        <x:v>Are repeated sentence texts or fit-on-eval transformations leaking information into validation/test results?</x:v>
      </x:c>
      <x:c r="E15" s="14" t="str">
        <x:v>Add deterministic sentence-text train/validation/test membership, explicit event/session/subject capability labels, membership hashes, and leakage validation.</x:v>
      </x:c>
      <x:c r="F15" s="14" t="str">
        <x:v>Protocol note mapping the official v2 80/10/10 text-group principle to inspectable local metadata and documenting stricter session/subject gates.</x:v>
      </x:c>
      <x:c r="G15" s="14" t="str">
        <x:v>Synthetic fixtures plus current 66-row S21 cache for plumbing only; no new download and no session/subject generalization claim.</x:v>
      </x:c>
      <x:c r="H15" s="14" t="str">
        <x:v>Pure-Python deterministic grouping, duplicate-text containment, train-only fitting rules, and report-level refusal of unsupported split claims.</x:v>
      </x:c>
      <x:c r="I15" s="14" t="str">
        <x:v>partition counts; group overlap; membership hash; unavailable metadata; fit-scope violations</x:v>
      </x:c>
      <x:c r="J15" s="14" t="str">
        <x:v>Every report names algorithm/version/group key; duplicate text never crosses partitions; unsupported session/subject splits fail or report unavailable; train-only fit scope is auditable.</x:v>
      </x:c>
      <x:c r="K15" s="14" t="str">
        <x:v>Done</x:v>
      </x:c>
      <x:c r="L15" s="14" t="str">
        <x:v>P0</x:v>
      </x:c>
      <x:c r="M15" s="14" t="str">
        <x:v>Codex</x:v>
      </x:c>
      <x:c r="N15" s="14" t="str">
        <x:v>S</x:v>
      </x:c>
      <x:c r="O15" s="14" t="str">
        <x:v>Loops 4-13</x:v>
      </x:c>
      <x:c r="P15" s="14" t="str">
        <x:v>Low</x:v>
      </x:c>
      <x:c r="Q15" s="14" t="str">
        <x:v>Keep the strict 55/6/5 membership and five source test rows frozen. The capped second-session gate is resolved by Loop 15; do not retune Loop 14 on either holdout.</x:v>
      </x:c>
      <x:c r="R15" s="14" t="str">
        <x:v>Closed 2026-07-10. Train-only scaler and exact report binding passed. Prior/tiny source-test CER 0.953488/0.947674 remained near-null. The second-session requirement is now resolved in Loop 15, whose fixed model fails transfer.</x:v>
      </x:c>
      <x:c r="S15" s="16" t="n">
        <x:f>IF(K15="Done",1,IF(K15="Review",0.8,IF(K15="In Progress",0.5,IF(K15="Blocked",0.2,IF(K15="Parked",0.1,0)))))</x:f>
        <x:v>1</x:v>
      </x:c>
      <x:c r="T15" s="14" t="str">
        <x:f>IF(K15="Blocked","Fix blocker",IF(K15="Review","Review/merge",IF(K15="Parked","Parked",IF(AND(L15="P0",K15="Not Started"),"Next candidate",IF(K15="Done","Closed","Normal")))))</x:f>
        <x:v>Closed</x:v>
      </x:c>
    </x:row>
    <x:row r="16" ht="210" customHeight="1">
      <x:c r="A16" s="14" t="n">
        <x:v>15</x:v>
      </x:c>
      <x:c r="B16" s="14" t="str">
        <x:v>Generalization</x:v>
      </x:c>
      <x:c r="C16" s="14" t="str">
        <x:v>Normalization + Adapter Baseline</x:v>
      </x:c>
      <x:c r="D16" s="14" t="str">
        <x:v>Can a tiny subject/session adapter improve stability without retraining everything?</x:v>
      </x:c>
      <x:c r="E16" s="14" t="str">
        <x:v>Zero-parameter robust channel-affine adapter and bounded synthetic gate runner.</x:v>
      </x:c>
      <x:c r="F16" s="14" t="str">
        <x:v>Primary-source adaptation note and synthetic proof protocol with explicit limits.</x:v>
      </x:c>
      <x:c r="G16" s="14" t="str">
        <x:v>Synthetic 96-row adapter gate only; real Stage A source-test and session-2 rows remain frozen.</x:v>
      </x:c>
      <x:c r="H16" s="14" t="str">
        <x:v>Source-train robust statistics plus unlabeled target-calibration statistics; validation-only adapter selection and one frozen synthetic holdout evaluation.</x:v>
      </x:c>
      <x:c r="I16" s="14" t="str">
        <x:v>Validation/holdout CER gain; paired bootstrap interval; reconstruction MAE; leakage, runtime, memory, storage, and cache checks.</x:v>
      </x:c>
      <x:c r="J16" s="14" t="str">
        <x:v>Stage A protocol and negative transfer result preserved. Stage B uses a 64/16/16 split, selects only on validation, improves frozen synthetic holdout, and keeps all real holdouts unopened.</x:v>
      </x:c>
      <x:c r="K16" s="14" t="str">
        <x:v>Done</x:v>
      </x:c>
      <x:c r="L16" s="14" t="str">
        <x:v>P2</x:v>
      </x:c>
      <x:c r="M16" s="14" t="str">
        <x:v>Codex</x:v>
      </x:c>
      <x:c r="N16" s="14" t="str">
        <x:v>M</x:v>
      </x:c>
      <x:c r="O16" s="14" t="str">
        <x:v>Loop 14</x:v>
      </x:c>
      <x:c r="P16" s="14" t="str">
        <x:v>Medium</x:v>
      </x:c>
      <x:c r="Q16" s="14" t="str">
        <x:v>Close after the synthetic affine gate passes; preserve real S21 holdouts and move calibration-size plus non-diagonal stress tests to Loop 16.</x:v>
      </x:c>
      <x:c r="R16" s="14" t="str">
        <x:v>Stage B closed 2026-07-10. Validation identity/adapted CER 0.327273/0; holdout identity/adapted/prior 0.344828/0/0.577586. Runtime 2.498 s, one thread, 21,354 artifact bytes, zero cache bytes. Synthetic diagonal shift only; no real adapter-benefit claim. Evidence: docs/LOOP_15_STAGE_B_SYNTHETIC_ADAPTER.md</x:v>
      </x:c>
      <x:c r="S16" s="16" t="n">
        <x:v>1</x:v>
      </x:c>
      <x:c r="T16" s="14" t="str">
        <x:v>Closed</x:v>
      </x:c>
    </x:row>
    <x:row r="17" ht="68" customHeight="1">
      <x:c r="A17" s="14" t="n">
        <x:v>16</x:v>
      </x:c>
      <x:c r="B17" s="14" t="str">
        <x:v>Generalization</x:v>
      </x:c>
      <x:c r="C17" s="14" t="str">
        <x:v>Calibration Curve Study</x:v>
      </x:c>
      <x:c r="D17" s="14" t="str">
        <x:v>How many examples or minutes are needed before performance becomes useful?</x:v>
      </x:c>
      <x:c r="E17" s="14" t="str">
        <x:v>Bounded six-size, three-seed calibration curve; multi-view CTC reuse; non-diagonal and time-varying synthetic shifts.</x:v>
      </x:c>
      <x:c r="F17" s="14" t="str">
        <x:v>Primary-source calibration/drift note with registered selection and explicit failure interpretation.</x:v>
      </x:c>
      <x:c r="G17" s="14" t="str">
        <x:v>Synthetic 96-row source plus independent 48-row unlabeled calibration pool; all real holdouts frozen.</x:v>
      </x:c>
      <x:c r="H17" s="14" t="str">
        <x:v>Validation-only nested 1/2/4/8/16/32-row curve across stationary diagonal, channel mixing, and within-row drift; one post-selection holdout pass.</x:v>
      </x:c>
      <x:c r="I17" s="14" t="str">
        <x:v>CER versus rows/minutes; seed range; paired uncertainty; reconstruction ratio; runtime, RSS, bytes, and leakage checks.</x:v>
      </x:c>
      <x:c r="J17" s="14" t="str">
        <x:v>Six sizes and three seeds complete; calibration texts are disjoint; target labels unused; static affine failure under mixing/time drift is reported; no real cache opened.</x:v>
      </x:c>
      <x:c r="K17" s="14" t="str">
        <x:v>Done</x:v>
      </x:c>
      <x:c r="L17" s="14" t="str">
        <x:v>P2</x:v>
      </x:c>
      <x:c r="M17" s="14" t="str">
        <x:v>Codex</x:v>
      </x:c>
      <x:c r="N17" s="14" t="str">
        <x:v>M</x:v>
      </x:c>
      <x:c r="O17" s="14" t="str">
        <x:v>Loop 15</x:v>
      </x:c>
      <x:c r="P17" s="14" t="str">
        <x:v>Medium</x:v>
      </x:c>
      <x:c r="Q17" s="14" t="str">
        <x:v>Close as synthetic characterization. Keep robust affine scoped to stationary diagonal drift; require a new synthetic gate for covariance or causal rolling adaptation.</x:v>
      </x:c>
      <x:c r="R17" s="14" t="str">
        <x:v>Closed 2026-07-10. Registered stationary selection: 1 synthetic row/1.26 s; holdout median identity/adapted CER 0.422414/0.232759, with 2 gains and 1 tie. Channel mixing 0.568966/0.862069 and time drift 0.439655/0.603448; all 6 stress seeds harmed. 1.897 s, 1 thread, 158,256 bytes, 0 cache bytes. Evidence: docs/LOOP_16_SYNTHETIC_CALIBRATION_CURVE.md</x:v>
      </x:c>
      <x:c r="S17" s="16" t="n">
        <x:v>1</x:v>
      </x:c>
      <x:c r="T17" s="14" t="str">
        <x:v>Closed</x:v>
      </x:c>
    </x:row>
    <x:row r="18" ht="91.5" customHeight="1">
      <x:c r="A18" s="14" t="n">
        <x:v>17</x:v>
      </x:c>
      <x:c r="B18" s="14" t="str">
        <x:v>UX &amp; Reproducibility</x:v>
      </x:c>
      <x:c r="C18" s="14" t="str">
        <x:v>Gradio Demo v1</x:v>
      </x:c>
      <x:c r="D18" s="14" t="str">
        <x:v>Can a smart outsider understand the loop in 60 seconds?</x:v>
      </x:c>
      <x:c r="E18" s="14" t="str">
        <x:v>Upgrade demo to load a cache, show target/prediction, confidence, errors, and signal snippet.</x:v>
      </x:c>
      <x:c r="F18" s="14" t="str">
        <x:v>Demo script with limitations copy that avoids mind-reading claims.</x:v>
      </x:c>
      <x:c r="G18" s="14" t="str">
        <x:v>Existing compact synthetic/report artifacts first; no new raw-data acquisition.</x:v>
      </x:c>
      <x:c r="H18" s="14" t="str">
        <x:v>Local Gradio workflow that reads standardized artifacts and exposes prediction, target, errors, uncertainty, calibration state, and proof posture.</x:v>
      </x:c>
      <x:c r="I18" s="14" t="str">
        <x:v>startup/runtime/RSS; displayed CER/WER; artifact provenance; proof-label completeness; interaction smoke result.</x:v>
      </x:c>
      <x:c r="J18" s="14" t="str">
        <x:v>One local command renders at least one end-to-end example and never labels the noncausal typed-sentence model as real-time or arbitrary-thought decoding.</x:v>
      </x:c>
      <x:c r="K18" s="14" t="str">
        <x:v>Done</x:v>
      </x:c>
      <x:c r="L18" s="14" t="str">
        <x:v>P1</x:v>
      </x:c>
      <x:c r="M18" s="14" t="str">
        <x:v>Codex</x:v>
      </x:c>
      <x:c r="N18" s="14" t="str">
        <x:v>M</x:v>
      </x:c>
      <x:c r="O18" s="14" t="str">
        <x:v>Loops 5-8</x:v>
      </x:c>
      <x:c r="P18" s="14" t="str">
        <x:v>Medium</x:v>
      </x:c>
      <x:c r="Q18" s="14" t="str">
        <x:v>Build an honest local Gradio demo from compact existing artifacts. Show signal snippet, target, prediction, CER/WER, uncertainty, calibration state, and proof posture. Keep heavy dependencies optional, measure startup/RSS, and state that the current model is noncausal and typing-task-specific.</x:v>
      </x:c>
      <x:c r="R18" s="14" t="str">
        <x:v>Closed 2026-07-10. Artifact-backed Gradio 6.20 console exposes 19 held-out synthetic examples, signal, target/prediction, CER/WER/keyboard error, aggregate-only real evidence, calibration state, and SHA-256 provenance. Predictive confidence is explicitly unavailable; decoder is noncausal and typing-task-specific. Final startup audit: 1.644 s, 224,837,632-byte peak RSS, 136,734-byte source cache, all 8 checks pass. Desktop/mobile/browser interactions pass with zero console errors. No network fetch, real model run, raw-data access, or new cache. Evidence: docs/LOOP_17_HONEST_LOCAL_DEMO.md</x:v>
      </x:c>
      <x:c r="S18" s="16" t="n">
        <x:f>IF(K18="Done",1,IF(K18="Review",0.8,IF(K18="In Progress",0.5,IF(K18="Blocked",0.2,IF(K18="Parked",0.1,0)))))</x:f>
        <x:v>1</x:v>
      </x:c>
      <x:c r="T18" s="14" t="str">
        <x:f>IF(K18="Blocked","Fix blocker",IF(K18="Review","Review/merge",IF(K18="Parked","Parked",IF(AND(L18="P0",K18="Not Started"),"Next candidate",IF(K18="Done","Closed","Normal")))))</x:f>
        <x:v>Closed</x:v>
      </x:c>
    </x:row>
    <x:row r="19" ht="100.5" customHeight="1">
      <x:c r="A19" s="14" t="n">
        <x:v>18</x:v>
      </x:c>
      <x:c r="B19" s="14" t="str">
        <x:v>UX &amp; Reproducibility</x:v>
      </x:c>
      <x:c r="C19" s="14" t="str">
        <x:v>Leaderboard + Report Cards</x:v>
      </x:c>
      <x:c r="D19" s="14" t="str">
        <x:v>Can every experiment be compared without spreadsheet archaeology?</x:v>
      </x:c>
      <x:c r="E19" s="14" t="str">
        <x:v>Add standardized run artifacts: metrics.json, config snapshot, report.md, cache metadata.</x:v>
      </x:c>
      <x:c r="F19" s="14" t="str">
        <x:v>Leaderboard schema and sample report card.</x:v>
      </x:c>
      <x:c r="G19" s="14" t="str">
        <x:v>All prior experiment outputs.</x:v>
      </x:c>
      <x:c r="H19" s="14" t="str">
        <x:v>Report generator + local leaderboard.</x:v>
      </x:c>
      <x:c r="I19" s="14" t="str">
        <x:v>runs comparable; missing metadata count.</x:v>
      </x:c>
      <x:c r="J19" s="14" t="str">
        <x:v>At least 3 baselines appear in one leaderboard table.</x:v>
      </x:c>
      <x:c r="K19" s="14" t="str">
        <x:v>Done</x:v>
      </x:c>
      <x:c r="L19" s="14" t="str">
        <x:v>P1</x:v>
      </x:c>
      <x:c r="M19" s="14" t="str">
        <x:v>Codex</x:v>
      </x:c>
      <x:c r="N19" s="14" t="str">
        <x:v>M</x:v>
      </x:c>
      <x:c r="O19" s="14" t="str">
        <x:v>Loops 5-8,14</x:v>
      </x:c>
      <x:c r="P19" s="14" t="str">
        <x:v>Low</x:v>
      </x:c>
      <x:c r="Q19" s="14" t="str">
        <x:v>Build the experiment report-card format and local leaderboard; make missing metadata obvious.</x:v>
      </x:c>
      <x:c r="R19" s="14" t="str">
        <x:v>Closed 2026-07-10. Versioned artifact-only schema indexes 11 saved runs across 6 exact cohorts and 4 method families. Four within-cohort rankings are authorized; event holdout and fit-on-eval smoke stay unranked, and no global winner exists. All required fields pass; missing SemER, cache hashes, code version, method-specific resources, or uncertainty remain explicit. 247,440 source-report bytes produce 58 deterministic core files and 103,789 total bytes in 0.012 s at 21,643,264-byte peak RSS. Replay is byte-identical outside audit.json. Raw/cache/signal reads, model runs, network fetches, and holdout reopenings are zero. Evidence: docs/LOOP_18_VERSIONED_REPORT_CARDS.md</x:v>
      </x:c>
      <x:c r="S19" s="16" t="n">
        <x:f>IF(K19="Done",1,IF(K19="Review",0.8,IF(K19="In Progress",0.5,IF(K19="Blocked",0.2,IF(K19="Parked",0.1,0)))))</x:f>
        <x:v>1</x:v>
      </x:c>
      <x:c r="T19" s="14" t="str">
        <x:f>IF(K19="Blocked","Fix blocker",IF(K19="Review","Review/merge",IF(K19="Parked","Parked",IF(AND(L19="P0",K19="Not Started"),"Next candidate",IF(K19="Done","Closed","Normal")))))</x:f>
        <x:v>Closed</x:v>
      </x:c>
    </x:row>
    <x:row r="20" ht="195" customHeight="1">
      <x:c r="A20" s="14" t="n">
        <x:v>19</x:v>
      </x:c>
      <x:c r="B20" s="14" t="str">
        <x:v>Expansion</x:v>
      </x:c>
      <x:c r="C20" s="14" t="str">
        <x:v>EEG / MOABB Bridge</x:v>
      </x:c>
      <x:c r="D20" s="14" t="str">
        <x:v>Can the same tooling support easier-to-access EEG without pretending it will match MEG?</x:v>
      </x:c>
      <x:c r="E20" s="14" t="str">
        <x:v>Add optional adapter for a small public EEG benchmark or MOABB-style dataset path.</x:v>
      </x:c>
      <x:c r="F20" s="14" t="str">
        <x:v>Comparison note: what transfers and what does not.</x:v>
      </x:c>
      <x:c r="G20" s="14" t="str">
        <x:v>Synthetic first; optional MOABB dataset.</x:v>
      </x:c>
      <x:c r="H20" s="14" t="str">
        <x:v>Dataset adapter interface.</x:v>
      </x:c>
      <x:c r="I20" s="14" t="str">
        <x:v>time to first EEG batch; baseline sanity score.</x:v>
      </x:c>
      <x:c r="J20" s="14" t="str">
        <x:v>Bridge is optional and clearly labeled exploratory.</x:v>
      </x:c>
      <x:c r="K20" s="14" t="str">
        <x:v>Done</x:v>
      </x:c>
      <x:c r="L20" s="14" t="str">
        <x:v>P3</x:v>
      </x:c>
      <x:c r="M20" s="14" t="str">
        <x:v>Codex</x:v>
      </x:c>
      <x:c r="N20" s="14" t="str">
        <x:v>L</x:v>
      </x:c>
      <x:c r="O20" s="14" t="str">
        <x:v>Loops 4-8 stable</x:v>
      </x:c>
      <x:c r="P20" s="14" t="str">
        <x:v>Medium</x:v>
      </x:c>
      <x:c r="Q20" s="14" t="str">
        <x:v>Explore an EEG adapter only after the core MEG loop is stable; keep claims conservative.</x:v>
      </x:c>
      <x:c r="R20" s="14" t="str">
        <x:v>Closed 2026-07-10. Metadata gate passed 13/13; pinned S7 bundle: 4 files / 94,842,381 bytes. Lazy extraction matched 2,534/2,534 triggers at 2.024 ms median residual and wrote a 12,428,800-byte 2197 x 61 x 25 cache. Template/prior label accuracy: 0.009091/0.122727; paired delta interval [-0.134545,-0.093636]. MOABB parked; no new dependency or full EEG tree; EEG/MEG separate. Evidence: docs/LOOP_19_EEG_BRAINVISION_BRIDGE.md</x:v>
      </x:c>
      <x:c r="S20" s="16" t="n">
        <x:f>IF(K20="Done",1,IF(K20="Review",0.8,IF(K20="In Progress",0.5,IF(K20="Blocked",0.2,IF(K20="Parked",0.1,0)))))</x:f>
        <x:v>1</x:v>
      </x:c>
      <x:c r="T20" s="14" t="str">
        <x:f>IF(K20="Blocked","Fix blocker",IF(K20="Review","Review/merge",IF(K20="Parked","Parked",IF(AND(L20="P0",K20="Not Started"),"Next candidate",IF(K20="Done","Closed","Normal")))))</x:f>
        <x:v>Closed</x:v>
      </x:c>
    </x:row>
    <x:row r="21" ht="202.5" customHeight="1">
      <x:c r="A21" s="14" t="n">
        <x:v>20</x:v>
      </x:c>
      <x:c r="B21" s="14" t="str">
        <x:v>Expansion</x:v>
      </x:c>
      <x:c r="C21" s="14" t="str">
        <x:v>Neurotokens / v2-ready Interface</x:v>
      </x:c>
      <x:c r="D21" s="14" t="str">
        <x:v>Can we design a future interface for neural embeddings without depending on unreleased data?</x:v>
      </x:c>
      <x:c r="E21" s="14" t="str">
        <x:v>Add placeholder `NeuroTokenCache` interface and synthetic embedding demo.</x:v>
      </x:c>
      <x:c r="F21" s="14" t="str">
        <x:v>Architecture note: raw windows → features → neurotokens → decoder.</x:v>
      </x:c>
      <x:c r="G21" s="14" t="str">
        <x:v>Synthetic embeddings; future real embeddings.</x:v>
      </x:c>
      <x:c r="H21" s="14" t="str">
        <x:v>Feature extractor interface + mock neurotokens.</x:v>
      </x:c>
      <x:c r="I21" s="14" t="str">
        <x:v>interface stability; demo compatibility.</x:v>
      </x:c>
      <x:c r="J21" s="14" t="str">
        <x:v>No v2-data assumptions; interface can ingest embeddings later.</x:v>
      </x:c>
      <x:c r="K21" s="14" t="str">
        <x:v>Done</x:v>
      </x:c>
      <x:c r="L21" s="14" t="str">
        <x:v>P2</x:v>
      </x:c>
      <x:c r="M21" s="14" t="str">
        <x:v>Codex</x:v>
      </x:c>
      <x:c r="N21" s="14" t="str">
        <x:v>M</x:v>
      </x:c>
      <x:c r="O21" s="14" t="str">
        <x:v>Loops 8,13,18</x:v>
      </x:c>
      <x:c r="P21" s="14" t="str">
        <x:v>Medium</x:v>
      </x:c>
      <x:c r="Q21" s="14" t="str">
        <x:v>Define NeuroTokenCache v0 as a small modality-aware interface over existing arrays and synthetic embeddings. Preserve timebase, channel geometry, masks, split membership, provenance, and resource accounting; assume no unreleased v2 data and train no larger model.</x:v>
      </x:c>
      <x:c r="R21" s="14" t="str">
        <x:v>Closed 2026-07-10. NeuroTokenCache v0 stores continuous [items,time,embedding] vectors with masks, timing, source identity, subject/session, modality, geometry availability, strict split/source hashes, resources, and explicit causality boundaries. A target-free synthetic projection wrote 48 x 16 x 32 float32 in 76,646 bytes under a 4-MiB cap; 553 valid frames; exact 37/4/7 split; payload replay SHA-256 82b478948bdcfd5b2d12643f9f912c192a8977c8f0554b9f073171cf6dfe2709. Zero model, training, real-data, or holdout reads. Not learned tokens, decoding value, or end-to-end streaming. Evidence: docs/LOOP_20_NEUROTOKEN_CACHE_V0.md</x:v>
      </x:c>
      <x:c r="S21" s="16" t="n">
        <x:f>IF(K21="Done",1,IF(K21="Review",0.8,IF(K21="In Progress",0.5,IF(K21="Blocked",0.2,IF(K21="Parked",0.1,0)))))</x:f>
        <x:v>1</x:v>
      </x:c>
      <x:c r="T21" s="14" t="str">
        <x:f>IF(K21="Blocked","Fix blocker",IF(K21="Review","Review/merge",IF(K21="Parked","Parked",IF(AND(L21="P0",K21="Not Started"),"Next candidate",IF(K21="Done","Closed","Normal")))))</x:f>
        <x:v>Closed</x:v>
      </x:c>
    </x:row>
  </x:sheetData>
  <x:conditionalFormatting sqref="K2:K200">
    <x:cfRule type="expression" dxfId="0" priority="1">
      <x:formula>K2="Blocked"</x:formula>
    </x:cfRule>
    <x:cfRule type="expression" dxfId="1" priority="2">
      <x:formula>K2="Done"</x:formula>
    </x:cfRule>
    <x:cfRule type="expression" dxfId="2" priority="3">
      <x:formula>K2="In Progress"</x:formula>
    </x:cfRule>
    <x:cfRule type="expression" dxfId="3" priority="4">
      <x:formula>K2="Review"</x:formula>
    </x:cfRule>
  </x:conditionalFormatting>
  <x:conditionalFormatting sqref="S2:S21">
    <x:cfRule type="dataBar" priority="5">
      <x:dataBar>
        <x:cfvo type="min"/>
        <x:cfvo type="max"/>
        <x:color rgb="FF1F4E78"/>
      </x:dataBar>
      <x:extLst>
        <x:ext xmlns:x14="http://schemas.microsoft.com/office/spreadsheetml/2009/9/main" uri="{B025F937-C7B1-47D3-B67F-A62EFF666E3E}">
          <x14:id>{581B661A-CD74-555C-A393-DCD44A232943}</x14:id>
        </x:ext>
      </x:extLst>
    </x:cfRule>
  </x:conditionalFormatting>
  <x:dataValidations count="5">
    <x:dataValidation type="list" sqref="K2:K200">
      <x:formula1>"Not Started,In Progress,Review,Blocked,Done,Parked"</x:formula1>
    </x:dataValidation>
    <x:dataValidation type="list" sqref="L2:L200">
      <x:formula1>"P0,P1,P2,P3"</x:formula1>
    </x:dataValidation>
    <x:dataValidation type="list" sqref="M2:M200">
      <x:formula1>"Cheick,Codex,GPT,TBD"</x:formula1>
    </x:dataValidation>
    <x:dataValidation type="list" sqref="N2:N200">
      <x:formula1>"XS,S,M,L,XL"</x:formula1>
    </x:dataValidation>
    <x:dataValidation type="list" sqref="P2:P200">
      <x:formula1>"Low,Medium,High,Spike"</x:formula1>
    </x:dataValidation>
  </x:dataValidations>
  <x:pageMargins left="0.7" right="0.7" top="0.75" bottom="0.75" header="0.3" footer="0.3"/>
  <x:tableParts count="1">
    <x:tablePart xmlns:r="http://schemas.openxmlformats.org/officeDocument/2006/relationships" r:id="Rc37b54a9ff894700"/>
  </x:tableParts>
  <x:extLst>
    <x:ext xmlns:x14="http://schemas.microsoft.com/office/spreadsheetml/2009/9/main" xmlns:xm="http://schemas.microsoft.com/office/excel/2006/main" uri="{78C0D931-6437-407d-A8EE-F0AAD7539E65}">
      <x14:conditionalFormattings>
        <x14:conditionalFormatting>
          <x14:cfRule type="dataBar" priority="5" id="{581B661A-CD74-555C-A393-DCD44A232943}">
            <x14:dataBar gradient="1">
              <x14:cfvo type="min"/>
              <x14:cfvo type="max"/>
              <x14:fillColor rgb="FF1F4E78"/>
            </x14:dataBar>
          </x14:cfRule>
          <xm:sqref>S2:S21</xm:sqref>
        </x14:conditionalFormatting>
      </x14:conditionalFormattings>
    </x:ext>
  </x:extLst>
</x:worksheet>
</file>

<file path=xl/worksheets/sheet3.xml><?xml version="1.0" encoding="utf-8"?>
<x:worksheet xmlns:x="http://schemas.openxmlformats.org/spreadsheetml/2006/main">
  <x:sheetFormatPr defaultRowHeight="15"/>
  <x:cols>
    <x:col min="1" max="1" width="4.130000114440918" hidden="0" customWidth="1"/>
    <x:col min="2" max="2" width="6.380000114440918" hidden="0" customWidth="1"/>
    <x:col min="3" max="3" width="8.630000114440918" hidden="0" customWidth="1"/>
    <x:col min="4" max="4" width="40" hidden="0" customWidth="1"/>
    <x:col min="5" max="5" width="36" hidden="0" customWidth="1"/>
    <x:col min="6" max="6" width="9.25" hidden="0" customWidth="1"/>
    <x:col min="7" max="7" width="7.5" hidden="0" customWidth="1"/>
    <x:col min="8" max="8" width="10.130000114440918" hidden="0" customWidth="1"/>
    <x:col min="9" max="9" width="32" hidden="0" customWidth="1"/>
  </x:cols>
  <x:sheetData>
    <x:row r="1" ht="30" customHeight="1">
      <x:c r="A1" s="6" t="str">
        <x:v>Date</x:v>
      </x:c>
      <x:c r="B1" s="6" t="str">
        <x:v>Loop ID</x:v>
      </x:c>
      <x:c r="C1" s="6" t="str">
        <x:v>Decision</x:v>
      </x:c>
      <x:c r="D1" s="6" t="str">
        <x:v>Rationale</x:v>
      </x:c>
      <x:c r="E1" s="6" t="str">
        <x:v>Evidence / Link</x:v>
      </x:c>
      <x:c r="F1" s="6" t="str">
        <x:v>Reversible?</x:v>
      </x:c>
      <x:c r="G1" s="6" t="str">
        <x:v>Owner</x:v>
      </x:c>
      <x:c r="H1" s="6" t="str">
        <x:v>Next Review</x:v>
      </x:c>
      <x:c r="I1" s="6" t="str">
        <x:v>Notes</x:v>
      </x:c>
    </x:row>
    <x:row r="2" ht="39.599998474121094" hidden="0" customHeight="1">
      <x:c r="A2" s="37" t="str">
        <x:v>2026-06-29</x:v>
      </x:c>
      <x:c r="B2" s="12" t="n">
        <x:v>1</x:v>
      </x:c>
      <x:c r="C2" s="12" t="str">
        <x:v>Proceed</x:v>
      </x:c>
      <x:c r="D2" s="12" t="str">
        <x:v>Loop 1 synthetic smoke acceptance gate met; proceed to Loop 2.</x:v>
      </x:c>
      <x:c r="E2" s="12" t="str">
        <x:v>docs/LOOP_01_PR1_CLOSEOUT_SMOKE.md</x:v>
      </x:c>
      <x:c r="F2" s="12" t="str">
        <x:v>Yes</x:v>
      </x:c>
      <x:c r="G2" s="12" t="str">
        <x:v>Codex</x:v>
      </x:c>
      <x:c r="H2" s="12" t="str">
        <x:v>Loop 2</x:v>
      </x:c>
      <x:c r="I2" s="12"/>
    </x:row>
    <x:row r="3" ht="39.599998474121094" hidden="0" customHeight="1">
      <x:c r="A3" s="37" t="str">
        <x:v>2026-06-29</x:v>
      </x:c>
      <x:c r="B3" s="12" t="n">
        <x:v>2</x:v>
      </x:c>
      <x:c r="C3" s="12" t="str">
        <x:v>Proceed</x:v>
      </x:c>
      <x:c r="D3" s="12" t="str">
        <x:v>Manifest v1 acceptance gate met; proceed to safe tiny-shard selector.</x:v>
      </x:c>
      <x:c r="E3" s="12" t="str">
        <x:v>docs/LOOP_02_SPANISHBCBL_MANIFEST_V1.md</x:v>
      </x:c>
      <x:c r="F3" s="12" t="str">
        <x:v>Yes</x:v>
      </x:c>
      <x:c r="G3" s="12" t="str">
        <x:v>Codex</x:v>
      </x:c>
      <x:c r="H3" s="12" t="str">
        <x:v>Loop 3</x:v>
      </x:c>
      <x:c r="I3" s="12"/>
    </x:row>
    <x:row r="4" ht="39.599998474121094" hidden="0" customHeight="1">
      <x:c r="A4" s="37" t="str">
        <x:v>2026-06-29</x:v>
      </x:c>
      <x:c r="B4" s="12" t="n">
        <x:v>3</x:v>
      </x:c>
      <x:c r="C4" s="12" t="str">
        <x:v>Proceed</x:v>
      </x:c>
      <x:c r="D4" s="12" t="str">
        <x:v>Safe tiny-shard selector acceptance gate met; proceed to cache schema v0.</x:v>
      </x:c>
      <x:c r="E4" s="12" t="str">
        <x:v>docs/LOOP_03_SAFE_TINY_SHARD_SELECTOR.md</x:v>
      </x:c>
      <x:c r="F4" s="12" t="str">
        <x:v>Yes</x:v>
      </x:c>
      <x:c r="G4" s="12" t="str">
        <x:v>Codex</x:v>
      </x:c>
      <x:c r="H4" s="12" t="str">
        <x:v>Loop 4</x:v>
      </x:c>
      <x:c r="I4" s="12" t="str">
        <x:v>Download remains dry-run by default; --execute with unknown sizes requires --allow-unknown-size.</x:v>
      </x:c>
    </x:row>
    <x:row r="5" ht="39.599998474121094" hidden="0" customHeight="1">
      <x:c r="A5" s="37" t="str">
        <x:v>2026-06-29</x:v>
      </x:c>
      <x:c r="B5" s="12" t="n">
        <x:v>4</x:v>
      </x:c>
      <x:c r="C5" s="12" t="str">
        <x:v>Proceed</x:v>
      </x:c>
      <x:c r="D5" s="12" t="str">
        <x:v>Cache schema v0 acceptance gate met; proceed to metrics and error reporting.</x:v>
      </x:c>
      <x:c r="E5" s="12" t="str">
        <x:v>docs/LOOP_04_B2Q_MINI_CACHE_V0.md</x:v>
      </x:c>
      <x:c r="F5" s="12" t="str">
        <x:v>Yes</x:v>
      </x:c>
      <x:c r="G5" s="12" t="str">
        <x:v>Codex</x:v>
      </x:c>
      <x:c r="H5" s="12" t="str">
        <x:v>Loop 5</x:v>
      </x:c>
      <x:c r="I5" s="12" t="str">
        <x:v>Reports should build on load_npz_cache so synthetic and real caches share one contract.</x:v>
      </x:c>
    </x:row>
    <x:row r="6" ht="39.599998474121094" hidden="0" customHeight="1">
      <x:c r="A6" s="37" t="str">
        <x:v>2026-07-01</x:v>
      </x:c>
      <x:c r="B6" s="12" t="n">
        <x:v>5</x:v>
      </x:c>
      <x:c r="C6" s="12" t="str">
        <x:v>Proceed</x:v>
      </x:c>
      <x:c r="D6" s="12" t="str">
        <x:v>Metrics/error report v1 acceptance gate met; proceed to LM-only / prior-only baseline.</x:v>
      </x:c>
      <x:c r="E6" s="12" t="str">
        <x:v>docs/LOOP_05_METRICS_ERROR_REPORT_V1.md</x:v>
      </x:c>
      <x:c r="F6" s="12" t="str">
        <x:v>Yes</x:v>
      </x:c>
      <x:c r="G6" s="12" t="str">
        <x:v>Codex</x:v>
      </x:c>
      <x:c r="H6" s="12" t="str">
        <x:v>Loop 6</x:v>
      </x:c>
      <x:c r="I6" s="12" t="str">
        <x:v>Identity-smoke report verifies plumbing only; no neural/model performance claimed.</x:v>
      </x:c>
    </x:row>
    <x:row r="7" ht="39.599998474121094" hidden="0" customHeight="1">
      <x:c r="A7" s="37" t="str">
        <x:v>2026-07-01</x:v>
      </x:c>
      <x:c r="B7" s="12" t="n">
        <x:v>6</x:v>
      </x:c>
      <x:c r="C7" s="12" t="str">
        <x:v>Proceed</x:v>
      </x:c>
      <x:c r="D7" s="12" t="str">
        <x:v>Prior-only baseline acceptance gate met; proceed to template / nearest-centroid baseline.</x:v>
      </x:c>
      <x:c r="E7" s="12" t="str">
        <x:v>docs/LOOP_06_LM_PRIOR_BASELINE.md</x:v>
      </x:c>
      <x:c r="F7" s="12" t="str">
        <x:v>Yes</x:v>
      </x:c>
      <x:c r="G7" s="12" t="str">
        <x:v>Codex</x:v>
      </x:c>
      <x:c r="H7" s="12" t="str">
        <x:v>Loop 7</x:v>
      </x:c>
      <x:c r="I7" s="12" t="str">
        <x:v>No neural signal used; fit-on-eval mode is smoke-only unless separate train labels are supplied.</x:v>
      </x:c>
    </x:row>
    <x:row r="8" ht="39.599998474121094" hidden="0" customHeight="1">
      <x:c r="A8" s="37" t="str">
        <x:v>2026-07-01</x:v>
      </x:c>
      <x:c r="B8" s="12" t="n">
        <x:v>7</x:v>
      </x:c>
      <x:c r="C8" s="12" t="str">
        <x:v>Proceed</x:v>
      </x:c>
      <x:c r="D8" s="12" t="str">
        <x:v>Template / nearest-centroid baseline acceptance gate met; proceed to tiny Conv / EEGNet-style baseline.</x:v>
      </x:c>
      <x:c r="E8" s="12" t="str">
        <x:v>docs/LOOP_07_TEMPLATE_BASELINE.md</x:v>
      </x:c>
      <x:c r="F8" s="12" t="str">
        <x:v>Yes</x:v>
      </x:c>
      <x:c r="G8" s="12" t="str">
        <x:v>Codex</x:v>
      </x:c>
      <x:c r="H8" s="12" t="str">
        <x:v>Loop 8</x:v>
      </x:c>
      <x:c r="I8" s="12" t="str">
        <x:v>Uses neural windows but no deep learning; perfect synthetic score is expected from toy class bumps.</x:v>
      </x:c>
    </x:row>
    <x:row r="9" ht="39.599998474121094" hidden="0" customHeight="1">
      <x:c r="A9" s="37" t="str">
        <x:v>2026-07-01</x:v>
      </x:c>
      <x:c r="B9" s="12" t="n">
        <x:v>8</x:v>
      </x:c>
      <x:c r="C9" s="12" t="str">
        <x:v>Proceed</x:v>
      </x:c>
      <x:c r="D9" s="12" t="str">
        <x:v>Tiny Conv baseline acceptance gate met for optional-ML scaffold; proceed to CTC character-decoder scaffold.</x:v>
      </x:c>
      <x:c r="E9" s="12" t="str">
        <x:v>docs/LOOP_08_TINY_CONV_BASELINE.md</x:v>
      </x:c>
      <x:c r="F9" s="12" t="str">
        <x:v>Yes</x:v>
      </x:c>
      <x:c r="G9" s="12" t="str">
        <x:v>Codex</x:v>
      </x:c>
      <x:c r="H9" s="12" t="str">
        <x:v>Loop 9</x:v>
      </x:c>
      <x:c r="I9" s="12" t="str">
        <x:v>Torch not installed locally; training smoke tests are present and skipped until .[ml] is available.</x:v>
      </x:c>
    </x:row>
    <x:row r="10" ht="105.5999984741211" hidden="0" customHeight="1">
      <x:c r="A10" s="37" t="str">
        <x:v>2026-07-10</x:v>
      </x:c>
      <x:c r="B10" s="12" t="str">
        <x:v>8.5</x:v>
      </x:c>
      <x:c r="C10" s="12" t="str">
        <x:v>Proceed to a resource-bounded continuous-sentence CTC scaffold.</x:v>
      </x:c>
      <x:c r="D10" s="12" t="str">
        <x:v>S21 block1 gives a strict 66/66 identity trial mapping, while the official v2 architecture confirms continuous-window CTC is the next decoder layer.</x:v>
      </x:c>
      <x:c r="E10" s="12" t="str">
        <x:v>docs/REAL_DATA_VALIDATION_2026-07-10.md</x:v>
      </x:c>
      <x:c r="F10" s="12" t="str">
        <x:v>Yes</x:v>
      </x:c>
      <x:c r="G10" s="12" t="str">
        <x:v>Codex</x:v>
      </x:c>
      <x:c r="H10" s="12" t="str">
        <x:v>Loop 9</x:v>
      </x:c>
      <x:c r="I10" s="12" t="str">
        <x:v>Gate cleared for one real block only. Official v2 English data remains embargoed; local work is a SpanishBCBL surrogate, not a reproduction. Sources: https://github.com/facebookresearch/brain2qwerty and https://facebookresearch.github.io/brain2qwerty/assets/brain2qwerty_v2.pdf</x:v>
      </x:c>
    </x:row>
    <x:row r="11" ht="52.79999923706055" hidden="0" customHeight="1">
      <x:c r="A11" s="37" t="str">
        <x:v>2026-07-10</x:v>
      </x:c>
      <x:c r="B11" s="12" t="n">
        <x:v>9</x:v>
      </x:c>
      <x:c r="C11" s="12" t="str">
        <x:v>Proceed</x:v>
      </x:c>
      <x:c r="D11" s="12" t="str">
        <x:v>Sentence-cache v0, synthetic CTC, 20-seed stability, no-brain comparison, and the real S21 resource smoke satisfy Loop 9 without inventing a real model score.</x:v>
      </x:c>
      <x:c r="E11" s="12" t="str">
        <x:v>docs/LOOP_09_CONTINUOUS_SENTENCE_CTC.md</x:v>
      </x:c>
      <x:c r="F11" s="12" t="str">
        <x:v>Yes</x:v>
      </x:c>
      <x:c r="G11" s="12" t="str">
        <x:v>Codex</x:v>
      </x:c>
      <x:c r="H11" s="12" t="str">
        <x:v>Loop 10</x:v>
      </x:c>
      <x:c r="I11" s="12" t="str">
        <x:v>Real cache: 66x16x617, 1.6 MB, 6.24 sec, about 515 MiB peak RSS. Synthetic eval CER 0.0 vs prior CER 0.7068. Next: 100/50/25 Hz extraction sweep.</x:v>
      </x:c>
    </x:row>
    <x:row r="12" ht="171.60000610351562" hidden="0" customHeight="1">
      <x:c r="A12" s="37" t="str">
        <x:v>2026-07-10</x:v>
      </x:c>
      <x:c r="B12" s="12" t="n">
        <x:v>10</x:v>
      </x:c>
      <x:c r="C12" s="12" t="str">
        <x:v>Proceed without rate selection</x:v>
      </x:c>
      <x:c r="D12" s="12" t="str">
        <x:v>The isolated 100/50/25 Hz resource and CTC-length gate is complete; lower rates shrink caches but remove bandwidth, and the official temporal reducer is structurally incompatible with 25 Hz on this block.</x:v>
      </x:c>
      <x:c r="E12" s="12" t="str">
        <x:v>docs/LOOP_10_SAMPLING_RATE_SWEEP.md</x:v>
      </x:c>
      <x:c r="F12" s="12" t="str">
        <x:v>Yes</x:v>
      </x:c>
      <x:c r="G12" s="12" t="str">
        <x:v>Codex</x:v>
      </x:c>
      <x:c r="H12" s="12" t="str">
        <x:v>Loop 11</x:v>
      </x:c>
      <x:c r="I12" s="12" t="str">
        <x:v>Exact 66-row identity at all rates. Cache bytes: 1,663,209 / 846,334 / 431,451. Official v2 kernel16/stride4 feasibility: 66/66, 66/66, 0/66. No accuracy winner. Sources: https://github.com/facebookresearch/brain2qwerty/blob/3bf5a4099ca0d23bbe994b2287905760236e56e0/brain2qwerty_v2/config/model_config.py and https://github.com/facebookresearch/brain2qwerty/blob/3bf5a4099ca0d23bbe994b2287905760236e56e0/brain2qwerty_v2/utils.py</x:v>
      </x:c>
    </x:row>
    <x:row r="13" ht="171.60000610351562" hidden="0" customHeight="1">
      <x:c r="A13" s="37" t="n">
        <x:v>46213</x:v>
      </x:c>
      <x:c r="B13" s="12" t="n">
        <x:v>11</x:v>
      </x:c>
      <x:c r="C13" s="12" t="str">
        <x:v>Proceed with two sensor-selection candidates; no channel-count winner</x:v>
      </x:c>
      <x:c r="D13" s="12" t="str">
        <x:v>The resource/proxy gate passed, but spatial FPS and same-block variance optimize different evidence. Carry both into future held-out decoder evaluation and retain random/first controls.</x:v>
      </x:c>
      <x:c r="E13" s="12" t="str">
        <x:v>docs/LOOP_11_CHANNEL_SENSOR_SUBSET_SWEEP.md</x:v>
      </x:c>
      <x:c r="F13" s="12" t="str">
        <x:v>Yes</x:v>
      </x:c>
      <x:c r="G13" s="12" t="str">
        <x:v>Codex</x:v>
      </x:c>
      <x:c r="H13" s="12" t="str">
        <x:v>Loop 12</x:v>
      </x:c>
      <x:c r="I13" s="12" t="str">
        <x:v>Base: 102 magnetometers, 66x102x617, 10.1 MiB, 12.004 s, 1.6 GiB peak RSS. Twenty subsets used 70.3 MiB and exact identities passed. Official v2 retrained random 306-to-230/153/76 subsets; this local one-block proxy is not an accuracy reproduction. Sources: https://facebookresearch.github.io/brain2qwerty/assets/brain2qwerty_v2.pdf and https://github.com/facebookresearch/brain2qwerty/blob/3bf5a4099ca0d23bbe994b2287905760236e56e0/brain2qwerty_v2/config/model_config.py</x:v>
      </x:c>
    </x:row>
    <x:row r="14" ht="132" customHeight="1">
      <x:c r="A14" s="40" t="n">
        <x:v>46213</x:v>
      </x:c>
      <x:c r="B14" s="14" t="n">
        <x:v>12</x:v>
      </x:c>
      <x:c r="C14" s="14" t="str">
        <x:v>Proceed with qint16 and qint8 candidates; keep float32 default</x:v>
      </x:c>
      <x:c r="D14" s="14" t="str">
        <x:v>All 15 representations preserve exact semantic identity with no source values outside the fixed range. Qint16 is the lowest-distortion packed candidate and qint8 is the smallest; no decoder was evaluated.</x:v>
      </x:c>
      <x:c r="E14" s="14" t="str">
        <x:v>docs/LOOP_12_PRECISION_STORAGE_SWEEP.md</x:v>
      </x:c>
      <x:c r="F14" s="14" t="str">
        <x:v>Yes</x:v>
      </x:c>
      <x:c r="G14" s="14" t="str">
        <x:v>Codex</x:v>
      </x:c>
      <x:c r="H14" s="14" t="str">
        <x:v>Loop 13/14</x:v>
      </x:c>
      <x:c r="I14" s="14" t="str">
        <x:v>Qint16: 49.84% smaller, worst relative RMSE 0.003693%. Qint8: 80.75% smaller, worst relative RMSE 0.9531%. Packed caches decode to float32, so this is not integer-only inference or retained accuracy. Sources: https://facebookresearch.github.io/brain2qwerty/assets/brain2qwerty_v2.pdf and https://arxiv.org/abs/1905.12322</x:v>
      </x:c>
    </x:row>
    <x:row r="15" ht="96" customHeight="1">
      <x:c r="A15" s="37" t="n">
        <x:v>46213</x:v>
      </x:c>
      <x:c r="B15" s="12" t="n">
        <x:v>13</x:v>
      </x:c>
      <x:c r="C15" s="12" t="str">
        <x:v>Park optional Zarr; proceed to Loop 14</x:v>
      </x:c>
      <x:c r="D15" s="12" t="str">
        <x:v>Nine current real standard/packed caches passed exact decoded-signal identity and declared time, memory, and size budgets. Partial NPZ reads are inefficient but not a material current bottleneck.</x:v>
      </x:c>
      <x:c r="E15" s="12" t="str">
        <x:v>docs/LOOP_13_LAZY_BACKEND_GATE.md</x:v>
      </x:c>
      <x:c r="F15" s="12" t="str">
        <x:v>Yes</x:v>
      </x:c>
      <x:c r="G15" s="12" t="str">
        <x:v>Codex</x:v>
      </x:c>
      <x:c r="H15" s="12" t="str">
        <x:v>Loop 14 / threshold trigger</x:v>
      </x:c>
      <x:c r="I15" s="12" t="str">
        <x:v>Largest cache 10.1 MiB; slowest full/partial medians 60.386/53.634 ms; highest worker RSS 140.6 MiB. One-row member amplification 66x. Zarr not installed. Sources: https://numpy.org/doc/stable/reference/generated/numpy.savez_compressed.html and https://zarr-specs.readthedocs.io/en/latest/v3/chunk-grids/regular-grid/</x:v>
      </x:c>
    </x:row>
    <x:row r="16" ht="108" customHeight="1">
      <x:c r="A16" s="37" t="n">
        <x:v>46213</x:v>
      </x:c>
      <x:c r="B16" s="12" t="n">
        <x:v>14</x:v>
      </x:c>
      <x:c r="C16" s="12" t="str">
        <x:v>Close strict split protocol; keep tiny CTC conclusion near-null</x:v>
      </x:c>
      <x:c r="D16" s="12" t="str">
        <x:v>Train-only scaling and exact report binding pass. Tiny CTC improves by one character edit on five test rows, but poor train fit and a paired interval crossing zero do not show neural advantage.</x:v>
      </x:c>
      <x:c r="E16" s="12" t="str">
        <x:v>docs/LOOP_14_SPLIT_PROTOCOL_V1.md</x:v>
      </x:c>
      <x:c r="F16" s="12" t="str">
        <x:v>Yes</x:v>
      </x:c>
      <x:c r="G16" s="12" t="str">
        <x:v>Codex</x:v>
      </x:c>
      <x:c r="H16" s="12" t="str">
        <x:v>Capped second-session data gate</x:v>
      </x:c>
      <x:c r="I16" s="12" t="str">
        <x:v>55/6/5 rows. Prior/tiny CER 0.953488/0.947674. Delta -0.005814; bootstrap CI [-0.197279, 0.130653]; wins/ties/losses 2/0/3. No session, subject, real-time, or thought-reading claim. Source: https://facebookresearch.github.io/brain2qwerty/assets/brain2qwerty_v2.pdf</x:v>
      </x:c>
    </x:row>
    <x:row r="17" ht="112" customHeight="1">
      <x:c r="A17" s="37" t="n">
        <x:v>46213</x:v>
      </x:c>
      <x:c r="B17" s="12" t="n">
        <x:v>15</x:v>
      </x:c>
      <x:c r="C17" s="12" t="str">
        <x:v>Freeze session 2 after the fixed cross-session baseline fails</x:v>
      </x:c>
      <x:c r="D17" s="12" t="str">
        <x:v>The complete session-2 acquisition, nonempty-MAT trial map, and frozen source-train scaler pass. The unchanged tiny CTC is materially worse than the no-signal prior, so session 2 is consumed evaluation data rather than an adapter tuning set.</x:v>
      </x:c>
      <x:c r="E17" s="12" t="str">
        <x:v>docs/LOOP_15_SAME_SUBJECT_CROSS_SESSION.md</x:v>
      </x:c>
      <x:c r="F17" s="12" t="str">
        <x:v>Yes</x:v>
      </x:c>
      <x:c r="G17" s="12" t="str">
        <x:v>Codex</x:v>
      </x:c>
      <x:c r="H17" s="12" t="str">
        <x:v>Synthetic adapter gate / pre-registered holdout</x:v>
      </x:c>
      <x:c r="I17" s="12" t="str">
        <x:v>Pinned acquisition: 2,516,384,765 bytes, one worker. MAT gaps [54,58,60]. Source 55 train; 6 validation and 5 test unused. Session-2 rows 63. Tiny/prior CER 0.917949/0.775458; delta +0.142491; paired CI [+0.119386,+0.166069]; wins/ties/losses 3/2/58. Dataset: https://huggingface.co/datasets/bcbl190626/SpanishBCBL</x:v>
      </x:c>
    </x:row>
    <x:row r="18" ht="96" customHeight="1">
      <x:c r="A18" s="40" t="n">
        <x:v>46213</x:v>
      </x:c>
      <x:c r="B18" s="14" t="n">
        <x:v>15</x:v>
      </x:c>
      <x:c r="C18" s="14" t="str">
        <x:v>Close Loop 15 after the bounded synthetic adapter mechanism gate passes</x:v>
      </x:c>
      <x:c r="D18" s="14" t="str">
        <x:v>A zero-parameter robust channel-affine adapter reverses the registered diagonal gain/offset shift under validation-only selection. This establishes the mechanism and implementation path without reopening real evaluation data.</x:v>
      </x:c>
      <x:c r="E18" s="14" t="str">
        <x:v>docs/LOOP_15_STAGE_B_SYNTHETIC_ADAPTER.md</x:v>
      </x:c>
      <x:c r="F18" s="14" t="str">
        <x:v>Yes</x:v>
      </x:c>
      <x:c r="G18" s="14" t="str">
        <x:v>Codex</x:v>
      </x:c>
      <x:c r="H18" s="14" t="str">
        <x:v>Loop 16 calibration-size and non-diagonal stress study</x:v>
      </x:c>
      <x:c r="I18" s="14" t="str">
        <x:v>Synthetic 64/16/16 rows. Validation identity/adapted CER 0.327273/0; holdout identity/adapted/prior 0.344828/0/0.577586; paired interval [-0.408696,-0.286957]. Runtime 2.498 s, one thread, zero cache bytes. No real adapter-benefit claim. Sources: https://arxiv.org/abs/1603.04779 and https://doi.org/10.1109/TBME.2019.2913914</x:v>
      </x:c>
    </x:row>
    <x:row r="19" ht="96" customHeight="1">
      <x:c r="A19" s="40" t="n">
        <x:v>46213</x:v>
      </x:c>
      <x:c r="B19" s="14" t="n">
        <x:v>16</x:v>
      </x:c>
      <x:c r="C19" s="14" t="str">
        <x:v>Keep robust affine inside its measured stationary-diagonal scope</x:v>
      </x:c>
      <x:c r="D19" s="14" t="str">
        <x:v>The registered synthetic curve finds a small stationary-diagonal calibration point but static independent-channel statistics harm every channel-mixing and within-row-drift holdout seed.</x:v>
      </x:c>
      <x:c r="E19" s="14" t="str">
        <x:v>docs/LOOP_16_SYNTHETIC_CALIBRATION_CURVE.md</x:v>
      </x:c>
      <x:c r="F19" s="14" t="str">
        <x:v>Yes</x:v>
      </x:c>
      <x:c r="G19" s="14" t="str">
        <x:v>Codex</x:v>
      </x:c>
      <x:c r="H19" s="14" t="str">
        <x:v>Loop 17 honest demo plus a future synthetic covariance/causal drift gate</x:v>
      </x:c>
      <x:c r="I19" s="14" t="str">
        <x:v>Six sizes x three seeds x three shifts. Selected 1 synthetic row/1.26 s by median validation rule; stationary holdout identity/adapted CER 0.422414/0.232759 with one tie. Mixing 0.568966/0.862069; time drift 0.439655/0.603448. One thread, 1.897 s, 158,256 bytes, zero cache bytes. Sources: https://doi.org/10.1609/aaai.v30i1.10306 and https://doi.org/10.1186/1687-6180-2012-129</x:v>
      </x:c>
    </x:row>
    <x:row r="20">
      <x:c r="A20" s="37" t="n">
        <x:v>46213</x:v>
      </x:c>
      <x:c r="B20" s="12" t="n">
        <x:v>17</x:v>
      </x:c>
      <x:c r="C20" s="12" t="str">
        <x:v>Close the honest local demo and proceed to report-card standardization</x:v>
      </x:c>
      <x:c r="D20" s="12" t="str">
        <x:v>The console reproduces compact saved artifacts, exposes uncertainty and noncausal scope, and keeps real results aggregate-only. Browser interaction and responsive layout pass without opening either observed real holdout.</x:v>
      </x:c>
      <x:c r="E20" s="12" t="str">
        <x:v>docs/LOOP_17_HONEST_LOCAL_DEMO.md</x:v>
      </x:c>
      <x:c r="F20" s="12" t="str">
        <x:v>Yes</x:v>
      </x:c>
      <x:c r="G20" s="12" t="str">
        <x:v>Codex</x:v>
      </x:c>
      <x:c r="H20" s="12" t="str">
        <x:v>Loop 18 leaderboard + report cards</x:v>
      </x:c>
      <x:c r="I20" s="12" t="str">
        <x:v>19 synthetic examples; 27 UI components; 4 callbacks; 1.644 s startup; 224,837,632-byte peak RSS; 136,734-byte source cache. All 8 audit checks pass. 1440x1000 and 390x844 QA pass with no console errors. Gradio remains optional; demo dependency added about 178,756 KiB to the existing environment. Sources: https://www.gradio.app/docs/gradio/blocks and https://facebookresearch.github.io/brain2qwerty/</x:v>
      </x:c>
    </x:row>
    <x:row r="21" ht="94.5" customHeight="1">
      <x:c r="A21" s="37" t="n">
        <x:v>46213</x:v>
      </x:c>
      <x:c r="B21" s="12" t="n">
        <x:v>18</x:v>
      </x:c>
      <x:c r="C21" s="12" t="str">
        <x:v>Rank only inside exact evidence cohorts</x:v>
      </x:c>
      <x:c r="D21" s="12" t="str">
        <x:v>Eleven historical runs can be indexed without retraining, but event versus sentence, synthetic versus real, and held-out versus fit-on-eval results are not globally comparable. CER and WER also disagree in the cross-session cohort.</x:v>
      </x:c>
      <x:c r="E21" s="12" t="str">
        <x:v>docs/LOOP_18_VERSIONED_REPORT_CARDS.md</x:v>
      </x:c>
      <x:c r="F21" s="12" t="str">
        <x:v>Yes</x:v>
      </x:c>
      <x:c r="G21" s="12" t="str">
        <x:v>Codex</x:v>
      </x:c>
      <x:c r="H21" s="12" t="str">
        <x:v>Loop 19 bounded EEG bridge discovery gate</x:v>
      </x:c>
      <x:c r="I21" s="12" t="str">
        <x:v>11 cards; 6 cohorts; 4 ranked cohorts; 58 deterministic core files; 103,789 bytes; 0.012 s; 21,643,264-byte peak RSS; zero raw/cache/signal reads, model runs, network fetches, or holdout reopenings. Sources: https://research.google/pubs/model-cards-for-model-reporting/ ; https://mlflow.org/docs/latest/tracking/ ; https://facebookresearch.github.io/brain2qwerty/assets/brain2qwerty_v2.pdf</x:v>
      </x:c>
    </x:row>
    <x:row r="22" ht="106.5" customHeight="1">
      <x:c r="A22" s="37" t="n">
        <x:v>46213</x:v>
      </x:c>
      <x:c r="B22" s="12" t="n">
        <x:v>19</x:v>
      </x:c>
      <x:c r="C22" s="12" t="str">
        <x:v>Keep a native task-matched EEG bridge; record the first baseline as negative</x:v>
      </x:c>
      <x:c r="D22" s="12" t="str">
        <x:v>One pinned 94,842,381-byte BrainVision-plus-MAT bundle validates complete selection, exact trigger-code alignment, lazy extraction, and cache reuse without MOABB. The minimally processed nearest-centroid event classifier is worse than its train-only prior, so bridge success must not become a decoder or hardware claim.</x:v>
      </x:c>
      <x:c r="E22" s="12" t="str">
        <x:v>docs/LOOP_19_EEG_BRAINVISION_BRIDGE.md</x:v>
      </x:c>
      <x:c r="F22" s="12" t="str">
        <x:v>Yes</x:v>
      </x:c>
      <x:c r="G22" s="12" t="str">
        <x:v>Codex</x:v>
      </x:c>
      <x:c r="H22" s="12" t="str">
        <x:v>Loop 20 modality-aware NeuroTokenCache v0 contract</x:v>
      </x:c>
      <x:c r="I22" s="12" t="str">
        <x:v>2,534/2,534 trigger match; 2.024 ms median residual; 2,197 x 61 x 25 cache; 12,428,800 bytes; template/prior label accuracy 0.009091/0.122727; paired interval [-0.134545,-0.093636]. Sources: https://huggingface.co/datasets/bcbl190626/SpanishBCBL ; https://www.nature.com/articles/s41593-026-02303-2 ; https://github.com/facebookresearch/brain2qwerty/blob/3bf5a4099ca0d23bbe994b2287905760236e56e0/studies/spanishbcbl.py ; https://mne.tools/stable/generated/mne.io.read_raw_brainvision.html</x:v>
      </x:c>
    </x:row>
    <x:row r="23" ht="118.5" customHeight="1">
      <x:c r="A23" s="37" t="n">
        <x:v>46213</x:v>
      </x:c>
      <x:c r="B23" s="12" t="n">
        <x:v>20</x:v>
      </x:c>
      <x:c r="C23" s="12" t="str">
        <x:v>Make neurotokens a continuous interface before making them a model claim</x:v>
      </x:c>
      <x:c r="D23" s="12" t="str">
        <x:v>The public v2 encoder exposes time-major frame embeddings, but its reference path is noncausal and its English training data is unavailable. A target-free synthetic projection can validate shape, timing, provenance, split, geometry, resource, and serialization contracts without pretending the vectors are learned or useful for decoding.</x:v>
      </x:c>
      <x:c r="E23" s="12" t="str">
        <x:v>docs/LOOP_20_NEUROTOKEN_CACHE_V0.md</x:v>
      </x:c>
      <x:c r="F23" s="12" t="str">
        <x:v>Yes</x:v>
      </x:c>
      <x:c r="G23" s="12" t="str">
        <x:v>Codex</x:v>
      </x:c>
      <x:c r="H23" s="12" t="str">
        <x:v>Synthetic causal chunk/replay contract before a learned encoder or decoder</x:v>
      </x:c>
      <x:c r="I23" s="12" t="str">
        <x:v>48 x 16 x 32 float32; 553 valid frames; 76,646 bytes; 0.09 s; 44,564,480-byte peak RSS; exact 37/4/7 split; exact payload replay; zero model/training/real/holdout reads. Sources: https://github.com/facebookresearch/brain2qwerty/tree/3bf5a4099ca0d23bbe994b2287905760236e56e0/brain2qwerty_v2 ; https://facebookresearch.github.io/brain2qwerty/assets/brain2qwerty_v2.pdf ; https://papers.neurips.cc/paper_files/paper/2024/file/a64d53074d011e49af1dfc72c332fe4b-Paper-Datasets_and_Benchmarks_Track.pdf</x:v>
      </x:c>
    </x:row>
    <x:row r="24" ht="129" customHeight="1">
      <x:c r="A24" s="37" t="n">
        <x:v>46213</x:v>
      </x:c>
      <x:c r="B24" s="12" t="n">
        <x:v>21</x:v>
      </x:c>
      <x:c r="C24" s="12" t="str">
        <x:v>Separate causal frame production from transport and text latency</x:v>
      </x:c>
      <x:c r="D24" s="12" t="str">
        <x:v>Five registered synthetic chunk schedules preserve one bounded zero-lookahead frame stream, but transport scheduling still adds 0 to 610 ms and no decoder emits text. Producer causality, scheduling delay, decoder emission, and end-to-end latency therefore remain separate proof surfaces.</x:v>
      </x:c>
      <x:c r="E24" s="12" t="str">
        <x:v>docs/LOOP_21_CAUSAL_CHUNK_REPLAY.md</x:v>
      </x:c>
      <x:c r="F24" s="12" t="str">
        <x:v>Yes</x:v>
      </x:c>
      <x:c r="G24" s="12" t="str">
        <x:v>Codex</x:v>
      </x:c>
      <x:c r="H24" s="12" t="str">
        <x:v>Loop 22 tiny learned causal encoder on synthetic train rows only</x:v>
      </x:c>
      <x:c r="I24" s="12" t="str">
        <x:v>5/5 schedules; 553 frames; exact frame/timestamps; bitwise schedule payload 78dc8b5298064216caa854c884a69834c0959566d9ede903d44ae1cd28562389; max Loop 20 difference 9.536743e-7 under 1e-6 tolerance; zero right context; 300-byte state; 195,520-byte bounded working core; 0.135024 s; 46,301,184-byte peak RSS; no targets/models/training/decoder/real reads. Sources: https://facebookresearch.github.io/brain2qwerty/assets/brain2qwerty_v2.pdf ; https://ai.meta.com/research/publications/emformer-efficient-memory-transformer-based-acoustic-model-for-low-latency-streaming-speech-recognition/ ; https://research.google/pubs/fastemit-low-latency-streaming-asr-with-sequence-level-emission-regularization/</x:v>
      </x:c>
    </x:row>
    <x:row r="25" ht="108.75" customHeight="1">
      <x:c r="A25" s="37" t="n">
        <x:v>46213</x:v>
      </x:c>
      <x:c r="B25" s="12" t="n">
        <x:v>22</x:v>
      </x:c>
      <x:c r="C25" s="12" t="str">
        <x:v>Proceed to a separately preregistered streaming CTC decoder gate</x:v>
      </x:c>
      <x:c r="D25" s="12" t="str">
        <x:v>The 1,130-parameter synthetic causal encoder passes its frozen test and all five replay schedules without real data or text decoding.</x:v>
      </x:c>
      <x:c r="E25" s="12" t="str">
        <x:v>docs/LOOP_22_TINY_CAUSAL_ENCODER.md</x:v>
      </x:c>
      <x:c r="F25" s="12" t="str">
        <x:v>No</x:v>
      </x:c>
      <x:c r="G25" s="12" t="str">
        <x:v>Codex</x:v>
      </x:c>
      <x:c r="H25" s="12" t="str">
        <x:v>Loop 23</x:v>
      </x:c>
      <x:c r="I25" s="12" t="str">
        <x:v>Seed 2203 is consumed. Perfect generated-motif classification is a mechanism check, not neural or text decoding.</x:v>
      </x:c>
    </x:row>
    <x:row r="26" ht="108.75" customHeight="1">
      <x:c r="A26" s="37" t="n">
        <x:v>46213</x:v>
      </x:c>
      <x:c r="B26" s="12" t="n">
        <x:v>23</x:v>
      </x:c>
      <x:c r="C26" s="12" t="str">
        <x:v>Park after the frozen exact-sequence gate fails</x:v>
      </x:c>
      <x:c r="D26" s="12" t="str">
        <x:v>Validation passes, but the once-opened seed-2303 test reaches 5/8 exact below the required 6/8; every error is one false tail symbol.</x:v>
      </x:c>
      <x:c r="E26" s="12" t="str">
        <x:v>docs/LOOP_23_STREAMING_CTC_DECODER.md</x:v>
      </x:c>
      <x:c r="F26" s="12" t="str">
        <x:v>No</x:v>
      </x:c>
      <x:c r="G26" s="12" t="str">
        <x:v>Codex</x:v>
      </x:c>
      <x:c r="H26" s="12" t="str">
        <x:v>Fresh calibration preregistration</x:v>
      </x:c>
      <x:c r="I26" s="12" t="str">
        <x:v>Seed 2303 is consumed. Do not trim, tune, calibrate, or design an endpoint from its outputs.</x:v>
      </x:c>
    </x:row>
    <x:row r="27" ht="108.75" customHeight="1">
      <x:c r="A27" s="37" t="n">
        <x:v>46213</x:v>
      </x:c>
      <x:c r="B27" s="12" t="n">
        <x:v>23.5</x:v>
      </x:c>
      <x:c r="C27" s="12" t="str">
        <x:v>Close supervised synthetic calibration and proceed to Loop 24 preregistration only</x:v>
      </x:c>
      <x:c r="D27" s="12" t="str">
        <x:v>One preregistered train-frame blank intercept takes the once-opened seed-2353 test from 7/16 to 16/16 exact with CER 0, nine corrections, and zero regressions.</x:v>
      </x:c>
      <x:c r="E27" s="12" t="str">
        <x:v>docs/LOOP_23_5_BLANK_INTERCEPT_CALIBRATION.md</x:v>
      </x:c>
      <x:c r="F27" s="12" t="str">
        <x:v>No</x:v>
      </x:c>
      <x:c r="G27" s="12" t="str">
        <x:v>Codex</x:v>
      </x:c>
      <x:c r="H27" s="12" t="str">
        <x:v>Loop 24 preregistration</x:v>
      </x:c>
      <x:c r="I27" s="12" t="str">
        <x:v>Seed 2353 is consumed. Replay, calibration, control, bootstrap, access, and resource gates pass; this remains supervised synthetic evidence only.</x:v>
      </x:c>
    </x:row>
    <x:row r="28" ht="131.25" customHeight="1">
      <x:c r="A28" s="37" t="n">
        <x:v>46213</x:v>
      </x:c>
      <x:c r="B28" s="12" t="str">
        <x:v>RW0</x:v>
      </x:c>
      <x:c r="C28" s="12" t="str">
        <x:v>Add a parallel practice track and keep fresh EEG approval-gated</x:v>
      </x:c>
      <x:c r="D28" s="12" t="str">
        <x:v>A practical local workflow requires explicit dataset cohorts, sensor modalities, compatibility levels, privacy rules, and authorization boundaries before real intake or device work.</x:v>
      </x:c>
      <x:c r="E28" s="12" t="str">
        <x:v>docs/REAL_WORLD_PRACTICE_TRACK_RESEARCH.md</x:v>
      </x:c>
      <x:c r="F28" s="12" t="str">
        <x:v>Yes</x:v>
      </x:c>
      <x:c r="G28" s="12" t="str">
        <x:v>Codex</x:v>
      </x:c>
      <x:c r="H28" s="12" t="str">
        <x:v>RW1 metadata-only intake</x:v>
      </x:c>
      <x:c r="I28" s="12" t="str">
        <x:v>Eight dataset records and 13 device records are metadata only. S20 session 2 block 2 is an unapproved four-file 96,090,264-byte proposal. No raw, consumed-cache, target, model, training, or download access occurred.</x:v>
      </x:c>
    </x:row>
    <x:row r="29" ht="131.25" customHeight="1">
      <x:c r="A29" s="37" t="n">
        <x:v>46213</x:v>
      </x:c>
      <x:c r="B29" s="12" t="str">
        <x:v>RW1</x:v>
      </x:c>
      <x:c r="C29" s="12" t="str">
        <x:v>Close metadata-only local intake at compatibility level 0</x:v>
      </x:c>
      <x:c r="D29" s="12" t="str">
        <x:v>Six common format families now produce strict deterministic core reports and measured audit sidecars without binary signal, target, model, training, or network access.</x:v>
      </x:c>
      <x:c r="E29" s="12" t="str">
        <x:v>docs/RW1_METADATA_ONLY_LOCAL_INTAKE.md</x:v>
      </x:c>
      <x:c r="F29" s="12" t="str">
        <x:v>Yes</x:v>
      </x:c>
      <x:c r="G29" s="12" t="str">
        <x:v>Codex</x:v>
      </x:c>
      <x:c r="H29" s="12" t="str">
        <x:v>RW2 preregistration</x:v>
      </x:c>
      <x:c r="I29" s="12" t="str">
        <x:v>532-byte synthetic fixture; 11,545 output bytes; 0.001659 s; 21,643,264-byte peak RSS; 11 focused tests; no signal readability or decoding claim.</x:v>
      </x:c>
    </x:row>
    <x:row r="30" ht="131.25" customHeight="1">
      <x:c r="A30" s="37" t="n">
        <x:v>46213</x:v>
      </x:c>
      <x:c r="B30" s="12" t="str">
        <x:v>RW2</x:v>
      </x:c>
      <x:c r="C30" s="12" t="str">
        <x:v>Freeze bounded signal-quality protocol before implementation</x:v>
      </x:c>
      <x:c r="D30" s="12" t="str">
        <x:v>Primary-source review exposed BIDS sidecar imports, EEGLAB embedded-array preload risk, and mixed-rate EDF/BDF behavior; bind explicit synthetic-only adapters before code.</x:v>
      </x:c>
      <x:c r="E30" s="12" t="str">
        <x:v>docs/RW2_SIGNAL_QUALITY_PREREGISTRATION.md</x:v>
      </x:c>
      <x:c r="F30" s="12" t="str">
        <x:v>Yes</x:v>
      </x:c>
      <x:c r="G30" s="12" t="str">
        <x:v>Codex</x:v>
      </x:c>
      <x:c r="H30" s="12" t="str">
        <x:v>RW2 synthetic implementation</x:v>
      </x:c>
      <x:c r="I30" s="12" t="str">
        <x:v>Commit eacb231; six adapters; one thread; 32 MiB materialized arrays; 4 MiB/run; 16 MiB fixture/report set; zero real/signal/target/model/training/download access.</x:v>
      </x:c>
    </x:row>
    <x:row r="31" ht="96" customHeight="1">
      <x:c r="A31" s="37" t="n">
        <x:v>46213</x:v>
      </x:c>
      <x:c r="B31" s="12" t="str">
        <x:v>RW2</x:v>
      </x:c>
      <x:c r="C31" s="12" t="str">
        <x:v>Close exact synthetic compatibility level 2; preregister RW3 only</x:v>
      </x:c>
      <x:c r="D31" s="12" t="str">
        <x:v>All 38 authorized fixtures pass, both frozen refusals match, reader opens remain lazy, source/payload hashes are unchanged, and privacy/resource gates pass without real or target access.</x:v>
      </x:c>
      <x:c r="E31" s="12" t="str">
        <x:v>docs/RW2_SIGNAL_QUALITY_CLOSEOUT.md</x:v>
      </x:c>
      <x:c r="F31" s="12" t="str">
        <x:v>Yes</x:v>
      </x:c>
      <x:c r="G31" s="12" t="str">
        <x:v>Codex</x:v>
      </x:c>
      <x:c r="H31" s="12" t="str">
        <x:v>RW3 preregistration</x:v>
      </x:c>
      <x:c r="I31" s="12" t="str">
        <x:v>Measured FIF: 9 channels, 3 windows, 11,520 values, 92,160 materialized bytes, 76,592 output bytes, 3.839168 s, 150,749,184-byte peak RSS; no real/cache/target/model/training/network access; no real-quality or decoding claim.</x:v>
      </x:c>
    </x:row>
    <x:row r="32" ht="96" customHeight="1">
      <x:c r="A32" s="37" t="n">
        <x:v>46213</x:v>
      </x:c>
      <x:c r="B32" s="12" t="str">
        <x:v>OS1</x:v>
      </x:c>
      <x:c r="C32" s="12" t="str">
        <x:v>Prepare proof-first open-source contribution surface; review public default before release</x:v>
      </x:c>
      <x:c r="D32" s="12" t="str">
        <x:v>EEG owners need metadata-first contribution paths, maintainers need privacy/security/license controls, and the current public default branch is stale relative to the tested review branch.</x:v>
      </x:c>
      <x:c r="E32" s="12" t="str">
        <x:v>docs/OPEN_SOURCE_READINESS.md</x:v>
      </x:c>
      <x:c r="F32" s="12" t="str">
        <x:v>Yes</x:v>
      </x:c>
      <x:c r="G32" s="12" t="str">
        <x:v>Cheick</x:v>
      </x:c>
      <x:c r="H32" s="12" t="str">
        <x:v>Review branch and GitHub settings</x:v>
      </x:c>
      <x:c r="I32" s="12" t="str">
        <x:v>Apache-2.0 is provisional for original work; Brain2Qwerty/SpanishBCBL remain separately CC-BY-NC-4.0. History/data/Gitleaks checks pass. Description, topics, labels, issue forms, CI, and contribution docs are prepared.</x:v>
      </x:c>
    </x:row>
    <x:row r="33" ht="108" customHeight="1">
      <x:c r="A33" s="37" t="n">
        <x:v>46213</x:v>
      </x:c>
      <x:c r="B33" s="12" t="str">
        <x:v>RW3</x:v>
      </x:c>
      <x:c r="C33" s="12" t="str">
        <x:v>Freeze source-chunk and replay-equivalence protocol before code</x:v>
      </x:c>
      <x:c r="D33" s="12" t="str">
        <x:v>Primary sources expose regenerated playback time, separate clock correction, destructive timestamp postprocessing, and raw-versus-corrected XDF views; freeze exact semantics before one adapter abstraction.</x:v>
      </x:c>
      <x:c r="E33" s="12" t="str">
        <x:v>docs/RW3_REPLAY_LIVE_EQUIVALENCE_PREREGISTRATION.md</x:v>
      </x:c>
      <x:c r="F33" s="12" t="str">
        <x:v>Yes</x:v>
      </x:c>
      <x:c r="G33" s="12" t="str">
        <x:v>Codex</x:v>
      </x:c>
      <x:c r="H33" s="12" t="str">
        <x:v>Review and explicitly authorize Stage A only</x:v>
      </x:c>
      <x:c r="I33" s="12" t="str">
        <x:v>Commit c3d1f01; 5 schedules; 18 future target-free fixture families; 30 refusal IDs; 4 separately gated stages; 7 invariant tests; zero adapter/socket/stream/board/XDF/data/target/model/training access; no runtime or decoding claim.</x:v>
      </x:c>
    </x:row>
    <x:row r="34" ht="118" customHeight="1">
      <x:c r="A34" s="37" t="n">
        <x:v>46214</x:v>
      </x:c>
      <x:c r="B34" s="12" t="str">
        <x:v>RW3-A</x:v>
      </x:c>
      <x:c r="C34" s="12" t="str">
        <x:v>Prepare Stage A authorization packet; keep implementation unauthorized</x:v>
      </x:c>
      <x:c r="D34" s="12" t="str">
        <x:v>The next permission must bind the frozen contract hash, exact 90-case matrix, 30 refusals, caps, forbidden work, and authorization sequence so general continuation cannot become runtime, device, or data access.</x:v>
      </x:c>
      <x:c r="E34" s="12" t="str">
        <x:v>docs/RW3_STAGE_A_AUTHORIZATION_PACKET.md</x:v>
      </x:c>
      <x:c r="F34" s="12" t="str">
        <x:v>Yes</x:v>
      </x:c>
      <x:c r="G34" s="12" t="str">
        <x:v>Codex</x:v>
      </x:c>
      <x:c r="H34" s="12" t="str">
        <x:v>Explicitly authorize Stage A only, amend, or hold</x:v>
      </x:c>
      <x:c r="I34" s="12" t="str">
        <x:v>Commit 163ff2f; machine request authorized_now=false; 10 invariants; zero source chunks, fixtures, adapters, optional imports, sockets, boards, XDF/data/target/model/training access; Stages B-D remain forbidden.</x:v>
      </x:c>
    </x:row>
    <x:row r="35" ht="90" customHeight="1">
      <x:c r="A35" s="37" t="n">
        <x:v>46214</x:v>
      </x:c>
      <x:c r="B35" s="12" t="n">
        <x:v>24</x:v>
      </x:c>
      <x:c r="C35" s="12" t="str">
        <x:v>Freeze local precision/runtime before candidate execution</x:v>
      </x:c>
      <x:c r="D35" s="12" t="str">
        <x:v>The 1,130-parameter synthetic pipeline is small enough that dtype labels, storage size, warmup, backend choice, and Python overhead can mislead; freeze behavior and resource gates before observing a candidate.</x:v>
      </x:c>
      <x:c r="E35" s="12" t="str">
        <x:v>docs/LOOP_24_PRECISION_RUNTIME_PREREGISTRATION.md</x:v>
      </x:c>
      <x:c r="F35" s="12" t="str">
        <x:v>Yes</x:v>
      </x:c>
      <x:c r="G35" s="12" t="str">
        <x:v>Codex</x:v>
      </x:c>
      <x:c r="H35" s="12" t="str">
        <x:v>Explicitly authorize Loop 24 only, amend, or hold</x:v>
      </x:c>
      <x:c r="I35" s="12" t="str">
        <x:v>Commit 186bb6f; contract SHA-256 58e9d5407fef9419bc3bb0dc8cd3fa68d36dd238cb636d2f833dd9c5c6c3ae5d; 3 candidates; seeds 2401/2402; 12 balanced selection rounds; 30 refusals; 9 invariants; zero fixture/checkpoint/candidate/inference/training/RW3 access.</x:v>
      </x:c>
    </x:row>
    <x:row r="36" ht="158.39999389648438" hidden="0" customHeight="1">
      <x:c r="A36" s="40" t="n">
        <x:v>46215</x:v>
      </x:c>
      <x:c r="B36" s="14" t="str">
        <x:v>24-AUTH</x:v>
      </x:c>
      <x:c r="C36" s="14" t="str">
        <x:v>Authorize frozen target-free Loop 24 only; no runtime yet</x:v>
      </x:c>
      <x:c r="D36" s="14" t="str">
        <x:v>The user explicitly authorized Loop 24 while mentioning real data and training. Preserve the preregistered experiment by authorizing only its target-free synthetic fixture, frozen checkpoint, three candidates, selection, conditional qualification, reports, and CLI after a tested authorization-only commit is pushed. Route real-data and training ambition to Loops 25-27.</x:v>
      </x:c>
      <x:c r="E36" s="14" t="str">
        <x:v>docs/LOOP_24_AUTHORIZATION_DECISION.md; registries/loop24_authorization_decision.v0.json</x:v>
      </x:c>
      <x:c r="F36" s="14" t="str">
        <x:v>Yes</x:v>
      </x:c>
      <x:c r="G36" s="14" t="str">
        <x:v>Cheick + Codex</x:v>
      </x:c>
      <x:c r="H36" s="14" t="str">
        <x:v>Push authorization-only commit; confirm CI; execute exact Loop 24</x:v>
      </x:c>
      <x:c r="I36" s="14" t="str">
        <x:v>The immutable 186bb6f contract retains false flags and its original hash. The separate decision permits only target-free fixture generation, frozen checkpoint validation, the three registered candidates, selection, conditional qualification, reports, and CLI work. Real/consumed data, targets, labels, text, training, new models, energy, RW3, devices, hardware, and Loops 25-44 remain false. Authorization-only counters and runtime outputs are zero.</x:v>
      </x:c>
    </x:row>
    <x:row r="37" ht="79.19999694824219" hidden="0" customHeight="1">
      <x:c r="A37" s="40" t="n">
        <x:v>46215</x:v>
      </x:c>
      <x:c r="B37" s="14" t="str">
        <x:v>24-RUN</x:v>
      </x:c>
      <x:c r="C37" s="14" t="str">
        <x:v>Park precision candidates; retain float32 reference</x:v>
      </x:c>
      <x:c r="D37" s="14" t="str">
        <x:v>All 12 balanced timing rounds completed, but total runtime was 65.154951 s against the frozen 60 s cap. Float16 was smaller but slower; dynamic QNNPACK qint8 was smaller but changed behavior and was slower. The protocol therefore requires parking without a rerun.</x:v>
      </x:c>
      <x:c r="E37" s="14" t="str">
        <x:v>docs/LOOP_24_LOCAL_PRECISION_RUNTIME.md</x:v>
      </x:c>
      <x:c r="F37" s="14" t="str">
        <x:v>No</x:v>
      </x:c>
      <x:c r="G37" s="14" t="str">
        <x:v>Codex</x:v>
      </x:c>
      <x:c r="H37" s="14" t="str">
        <x:v>Loop 25 preregistration decision</x:v>
      </x:c>
      <x:c r="I37" s="14" t="str">
        <x:v>Seed 2401 consumed; seed 2402 unopened; float32 retained. Output 125,934 B; fixture + output 262,822 B; max worker RSS 222,248,960 B; no real data, targets, labels, training, energy, RW3, or hardware access.</x:v>
      </x:c>
    </x:row>
    <x:row r="38" ht="126" customHeight="1">
      <x:c r="A38" s="37" t="n">
        <x:v>46215</x:v>
      </x:c>
      <x:c r="B38" s="12" t="str">
        <x:v>25-REG</x:v>
      </x:c>
      <x:c r="C38" s="12" t="str">
        <x:v>Preregister causal preprocessing; keep execution unauthorized</x:v>
      </x:c>
      <x:c r="D38" s="12" t="str">
        <x:v>The existing sentence path is offline and future-dependent at filtering, resampling, normalization, and endpoint stages. Freeze one target-free stateful path and every acceptance boundary before creating coefficients or fixtures.</x:v>
      </x:c>
      <x:c r="E38" s="12" t="str">
        <x:v>docs/LOOP_25_PRIMARY_SOURCE_RESEARCH.md; docs/LOOP_25_CAUSAL_PREPROCESSING_PREREGISTRATION.md; registries/causal_preprocessing_contract.v0.json; docs/LOOP_25_AUTHORIZATION_PACKET.md</x:v>
      </x:c>
      <x:c r="F38" s="12" t="str">
        <x:v>Yes</x:v>
      </x:c>
      <x:c r="G38" s="12" t="str">
        <x:v>Codex</x:v>
      </x:c>
      <x:c r="H38" s="12" t="str">
        <x:v>Authorize exactly, amend packet, or hold</x:v>
      </x:c>
      <x:c r="I38" s="12" t="str">
        <x:v>Commit a36d97b; CI green; contract SHA-256 42781526225c556d0df54d1b6924fd5d9ecf95578a84c3e3922b6d5c7035050e; 7 schedules; 10 resumes; 3 mutation cuts; 40 refusals; 21 counters; 10 contract + 8 request invariants. authorized_now=false; seeds 2501/2502 unopened; zero runtime/data/target/model/training/RW3/device operations.</x:v>
      </x:c>
    </x:row>
    <x:row r="39" ht="135" customHeight="1">
      <x:c r="A39" s="37" t="n">
        <x:v>46215</x:v>
      </x:c>
      <x:c r="B39" s="12" t="str">
        <x:v>25-AA</x:v>
      </x:c>
      <x:c r="C39" s="12" t="str">
        <x:v>Supersede Loop 25 v0 anti-alias scope before authorization</x:v>
      </x:c>
      <x:c r="D39" s="12" t="str">
        <x:v>Pinned Brain2Qwerty uses NeuralSet 0.2.2, whose extractor performs a separate MNE resample after bandpass filtering. V0 checked only 60 Hz at -6 dB and left almost the complete 50-500 Hz folding band unbounded. Amend before any coefficient or seed exists.</x:v>
      </x:c>
      <x:c r="E39" s="12" t="str">
        <x:v>docs/LOOP_25_ANTI_ALIAS_AUDIT.md; docs/LOOP_25_CAUSAL_PREPROCESSING_AMENDMENT_1.md; registries/causal_preprocessing_contract.v1.json; docs/LOOP_25_AUTHORIZATION_PACKET_V1.md</x:v>
      </x:c>
      <x:c r="F39" s="12" t="str">
        <x:v>Yes</x:v>
      </x:c>
      <x:c r="G39" s="12" t="str">
        <x:v>Codex</x:v>
      </x:c>
      <x:c r="H39" s="12" t="str">
        <x:v>Review v1; authorize exactly, amend again, or hold</x:v>
      </x:c>
      <x:c r="I39" s="12" t="str">
        <x:v>Commit b6b92d8; both CI jobs green; contract SHA-256 ecec99a7cc505ec0256c01c3c1e8aeaa05323ab54a71528323fa6d32bd289141; dedicated elliptic anti-alias; 65,537 response points; 23 alias probes; 7 schedules; 10 resumes; 3 mutation cuts; 45 refusals; 23 counters. authorized_now=false; seeds 2501/2502 unopened; zero coefficient/runtime/data/target/model/training/RW3/device operations.</x:v>
      </x:c>
    </x:row>
    <x:row r="40" ht="142.5" customHeight="1">
      <x:c r="A40" s="37" t="n">
        <x:v>46215</x:v>
      </x:c>
      <x:c r="B40" s="12" t="str">
        <x:v>26-R1</x:v>
      </x:c>
      <x:c r="C40" s="12" t="str">
        <x:v>Close Loop 26 planning research without preregistering an experiment</x:v>
      </x:c>
      <x:c r="D40" s="12" t="str">
        <x:v>Six validation sentences from one person/session support only a coarse source-validation engineering gate. Preserve the 2,908-parameter ceiling, recommend a left-causal padding repair and 2,884-parameter linear comparator, and wait for Loop 25 before freezing thresholds or access.</x:v>
      </x:c>
      <x:c r="E40" s="12" t="str">
        <x:v>docs/LOOP_26_PRIMARY_SOURCE_RESEARCH.md; registries/loop26_research_boundary.v0.json; docs/LOOPS_25_44_ROADMAP.md</x:v>
      </x:c>
      <x:c r="F40" s="12" t="str">
        <x:v>Yes</x:v>
      </x:c>
      <x:c r="G40" s="12" t="str">
        <x:v>Codex</x:v>
      </x:c>
      <x:c r="H40" s="12" t="str">
        <x:v>Make the exact Loop 25 decision; only then consider a separate Loop 26 preregistration</x:v>
      </x:c>
      <x:c r="I40" s="12" t="str">
        <x:v>Planning only. 64 exact paired assignments; minimum two-sided resolution 0.03125 with six nonzero pairs; 55/6/5 split; source test and session 2 frozen; 14 authorization flags false; zero cache/target/model/training/validation operations.</x:v>
      </x:c>
    </x:row>
    <x:row r="41" ht="148.5" customHeight="1">
      <x:c r="A41" s="37" t="n">
        <x:v>46215</x:v>
      </x:c>
      <x:c r="B41" s="12" t="str">
        <x:v>27-R1</x:v>
      </x:c>
      <x:c r="C41" s="12" t="str">
        <x:v>Select S25 metadata for Loop 27 and hold preregistration</x:v>
      </x:c>
      <x:c r="D41" s="12" t="str">
        <x:v>A pinned metadata selector found 23 strict MEG pairs and 16 eligible pairs. Select the first eligible pair, S25 session 2 block 2, at exactly 1,009,939,983 bytes. Keep every payload and permission sealed until source-model, control, target-isolation, and final-rule hashes exist.</x:v>
      </x:c>
      <x:c r="E41" s="12" t="str">
        <x:v>docs/LOOP_27_PRIMARY_SOURCE_RESEARCH.md; registries/loop27_research_boundary.v0.json; docs/LOOPS_25_44_ROADMAP.md</x:v>
      </x:c>
      <x:c r="F41" s="12" t="str">
        <x:v>Yes</x:v>
      </x:c>
      <x:c r="G41" s="12" t="str">
        <x:v>Codex</x:v>
      </x:c>
      <x:c r="H41" s="12" t="str">
        <x:v>Make the exact Loop 25 decision; only after Loop 25/26 evidence exists may Loop 27 preregistration be prepared</x:v>
      </x:c>
      <x:c r="I41" s="12" t="str">
        <x:v>Planning only. S23 officially excluded; S20 is EEG; all 18 permissions false; zero download, local MAT hash, header, signal, target, model, training, final, or backup operations.</x:v>
      </x:c>
    </x:row>
    <x:row r="42">
      <x:c r="A42" s="37"/>
      <x:c r="B42" s="12"/>
      <x:c r="C42" s="12"/>
      <x:c r="D42" s="12"/>
      <x:c r="E42" s="12"/>
      <x:c r="F42" s="12"/>
      <x:c r="G42" s="12"/>
      <x:c r="H42" s="12"/>
      <x:c r="I42" s="12"/>
    </x:row>
    <x:row r="43">
      <x:c r="A43" s="37"/>
      <x:c r="B43" s="12"/>
      <x:c r="C43" s="12"/>
      <x:c r="D43" s="12"/>
      <x:c r="E43" s="12"/>
      <x:c r="F43" s="12"/>
      <x:c r="G43" s="12"/>
      <x:c r="H43" s="12"/>
      <x:c r="I43" s="12"/>
    </x:row>
    <x:row r="44">
      <x:c r="A44" s="37"/>
      <x:c r="B44" s="12"/>
      <x:c r="C44" s="12"/>
      <x:c r="D44" s="12"/>
      <x:c r="E44" s="12"/>
      <x:c r="F44" s="12"/>
      <x:c r="G44" s="12"/>
      <x:c r="H44" s="12"/>
      <x:c r="I44" s="12"/>
    </x:row>
    <x:row r="45">
      <x:c r="A45" s="37"/>
      <x:c r="B45" s="12"/>
      <x:c r="C45" s="12"/>
      <x:c r="D45" s="12"/>
      <x:c r="E45" s="12"/>
      <x:c r="F45" s="12"/>
      <x:c r="G45" s="12"/>
      <x:c r="H45" s="12"/>
      <x:c r="I45" s="12"/>
    </x:row>
    <x:row r="46">
      <x:c r="A46" s="37"/>
      <x:c r="B46" s="12"/>
      <x:c r="C46" s="12"/>
      <x:c r="D46" s="12"/>
      <x:c r="E46" s="12"/>
      <x:c r="F46" s="12"/>
      <x:c r="G46" s="12"/>
      <x:c r="H46" s="12"/>
      <x:c r="I46" s="12"/>
    </x:row>
    <x:row r="47">
      <x:c r="A47" s="37"/>
      <x:c r="B47" s="12"/>
      <x:c r="C47" s="12"/>
      <x:c r="D47" s="12"/>
      <x:c r="E47" s="12"/>
      <x:c r="F47" s="12"/>
      <x:c r="G47" s="12"/>
      <x:c r="H47" s="12"/>
      <x:c r="I47" s="12"/>
    </x:row>
    <x:row r="48">
      <x:c r="A48" s="37"/>
      <x:c r="B48" s="12"/>
      <x:c r="C48" s="12"/>
      <x:c r="D48" s="12"/>
      <x:c r="E48" s="12"/>
      <x:c r="F48" s="12"/>
      <x:c r="G48" s="12"/>
      <x:c r="H48" s="12"/>
      <x:c r="I48" s="12"/>
    </x:row>
    <x:row r="49">
      <x:c r="A49" s="37"/>
      <x:c r="B49" s="12"/>
      <x:c r="C49" s="12"/>
      <x:c r="D49" s="12"/>
      <x:c r="E49" s="12"/>
      <x:c r="F49" s="12"/>
      <x:c r="G49" s="12"/>
      <x:c r="H49" s="12"/>
      <x:c r="I49" s="12"/>
    </x:row>
    <x:row r="50">
      <x:c r="A50" s="37"/>
      <x:c r="B50" s="12"/>
      <x:c r="C50" s="12"/>
      <x:c r="D50" s="12"/>
      <x:c r="E50" s="12"/>
      <x:c r="F50" s="12"/>
      <x:c r="G50" s="12"/>
      <x:c r="H50" s="12"/>
      <x:c r="I50" s="12"/>
    </x:row>
    <x:row r="51">
      <x:c r="A51" s="37"/>
      <x:c r="B51" s="12"/>
      <x:c r="C51" s="12"/>
      <x:c r="D51" s="12"/>
      <x:c r="E51" s="12"/>
      <x:c r="F51" s="12"/>
      <x:c r="G51" s="12"/>
      <x:c r="H51" s="12"/>
      <x:c r="I51" s="12"/>
    </x:row>
    <x:row r="52">
      <x:c r="A52" s="37"/>
      <x:c r="B52" s="12"/>
      <x:c r="C52" s="12"/>
      <x:c r="D52" s="12"/>
      <x:c r="E52" s="12"/>
      <x:c r="F52" s="12"/>
      <x:c r="G52" s="12"/>
      <x:c r="H52" s="12"/>
      <x:c r="I52" s="12"/>
    </x:row>
    <x:row r="53">
      <x:c r="A53" s="37"/>
      <x:c r="B53" s="12"/>
      <x:c r="C53" s="12"/>
      <x:c r="D53" s="12"/>
      <x:c r="E53" s="12"/>
      <x:c r="F53" s="12"/>
      <x:c r="G53" s="12"/>
      <x:c r="H53" s="12"/>
      <x:c r="I53" s="12"/>
    </x:row>
    <x:row r="54">
      <x:c r="A54" s="37"/>
      <x:c r="B54" s="12"/>
      <x:c r="C54" s="12"/>
      <x:c r="D54" s="12"/>
      <x:c r="E54" s="12"/>
      <x:c r="F54" s="12"/>
      <x:c r="G54" s="12"/>
      <x:c r="H54" s="12"/>
      <x:c r="I54" s="12"/>
    </x:row>
    <x:row r="55">
      <x:c r="A55" s="37"/>
      <x:c r="B55" s="12"/>
      <x:c r="C55" s="12"/>
      <x:c r="D55" s="12"/>
      <x:c r="E55" s="12"/>
      <x:c r="F55" s="12"/>
      <x:c r="G55" s="12"/>
      <x:c r="H55" s="12"/>
      <x:c r="I55" s="12"/>
    </x:row>
    <x:row r="56">
      <x:c r="A56" s="37"/>
      <x:c r="B56" s="12"/>
      <x:c r="C56" s="12"/>
      <x:c r="D56" s="12"/>
      <x:c r="E56" s="12"/>
      <x:c r="F56" s="12"/>
      <x:c r="G56" s="12"/>
      <x:c r="H56" s="12"/>
      <x:c r="I56" s="12"/>
    </x:row>
    <x:row r="57">
      <x:c r="A57" s="37"/>
      <x:c r="B57" s="12"/>
      <x:c r="C57" s="12"/>
      <x:c r="D57" s="12"/>
      <x:c r="E57" s="12"/>
      <x:c r="F57" s="12"/>
      <x:c r="G57" s="12"/>
      <x:c r="H57" s="12"/>
      <x:c r="I57" s="12"/>
    </x:row>
    <x:row r="58">
      <x:c r="A58" s="37"/>
      <x:c r="B58" s="12"/>
      <x:c r="C58" s="12"/>
      <x:c r="D58" s="12"/>
      <x:c r="E58" s="12"/>
      <x:c r="F58" s="12"/>
      <x:c r="G58" s="12"/>
      <x:c r="H58" s="12"/>
      <x:c r="I58" s="12"/>
    </x:row>
    <x:row r="59">
      <x:c r="A59" s="37"/>
      <x:c r="B59" s="12"/>
      <x:c r="C59" s="12"/>
      <x:c r="D59" s="12"/>
      <x:c r="E59" s="12"/>
      <x:c r="F59" s="12"/>
      <x:c r="G59" s="12"/>
      <x:c r="H59" s="12"/>
      <x:c r="I59" s="12"/>
    </x:row>
    <x:row r="60">
      <x:c r="A60" s="37"/>
      <x:c r="B60" s="12"/>
      <x:c r="C60" s="12"/>
      <x:c r="D60" s="12"/>
      <x:c r="E60" s="12"/>
      <x:c r="F60" s="12"/>
      <x:c r="G60" s="12"/>
      <x:c r="H60" s="12"/>
      <x:c r="I60" s="12"/>
    </x:row>
    <x:row r="61">
      <x:c r="A61" s="37"/>
      <x:c r="B61" s="12"/>
      <x:c r="C61" s="12"/>
      <x:c r="D61" s="12"/>
      <x:c r="E61" s="12"/>
      <x:c r="F61" s="12"/>
      <x:c r="G61" s="12"/>
      <x:c r="H61" s="12"/>
      <x:c r="I61" s="12"/>
    </x:row>
    <x:row r="62">
      <x:c r="A62" s="37"/>
      <x:c r="B62" s="12"/>
      <x:c r="C62" s="12"/>
      <x:c r="D62" s="12"/>
      <x:c r="E62" s="12"/>
      <x:c r="F62" s="12"/>
      <x:c r="G62" s="12"/>
      <x:c r="H62" s="12"/>
      <x:c r="I62" s="12"/>
    </x:row>
    <x:row r="63">
      <x:c r="A63" s="37"/>
      <x:c r="B63" s="12"/>
      <x:c r="C63" s="12"/>
      <x:c r="D63" s="12"/>
      <x:c r="E63" s="12"/>
      <x:c r="F63" s="12"/>
      <x:c r="G63" s="12"/>
      <x:c r="H63" s="12"/>
      <x:c r="I63" s="12"/>
    </x:row>
    <x:row r="64">
      <x:c r="A64" s="37"/>
      <x:c r="B64" s="12"/>
      <x:c r="C64" s="12"/>
      <x:c r="D64" s="12"/>
      <x:c r="E64" s="12"/>
      <x:c r="F64" s="12"/>
      <x:c r="G64" s="12"/>
      <x:c r="H64" s="12"/>
      <x:c r="I64" s="12"/>
    </x:row>
    <x:row r="65">
      <x:c r="A65" s="37"/>
      <x:c r="B65" s="12"/>
      <x:c r="C65" s="12"/>
      <x:c r="D65" s="12"/>
      <x:c r="E65" s="12"/>
      <x:c r="F65" s="12"/>
      <x:c r="G65" s="12"/>
      <x:c r="H65" s="12"/>
      <x:c r="I65" s="12"/>
    </x:row>
    <x:row r="66">
      <x:c r="A66" s="37"/>
      <x:c r="B66" s="12"/>
      <x:c r="C66" s="12"/>
      <x:c r="D66" s="12"/>
      <x:c r="E66" s="12"/>
      <x:c r="F66" s="12"/>
      <x:c r="G66" s="12"/>
      <x:c r="H66" s="12"/>
      <x:c r="I66" s="12"/>
    </x:row>
    <x:row r="67">
      <x:c r="A67" s="37"/>
      <x:c r="B67" s="12"/>
      <x:c r="C67" s="12"/>
      <x:c r="D67" s="12"/>
      <x:c r="E67" s="12"/>
      <x:c r="F67" s="12"/>
      <x:c r="G67" s="12"/>
      <x:c r="H67" s="12"/>
      <x:c r="I67" s="12"/>
    </x:row>
    <x:row r="68">
      <x:c r="A68" s="37"/>
      <x:c r="B68" s="12"/>
      <x:c r="C68" s="12"/>
      <x:c r="D68" s="12"/>
      <x:c r="E68" s="12"/>
      <x:c r="F68" s="12"/>
      <x:c r="G68" s="12"/>
      <x:c r="H68" s="12"/>
      <x:c r="I68" s="12"/>
    </x:row>
    <x:row r="69">
      <x:c r="A69" s="37"/>
      <x:c r="B69" s="12"/>
      <x:c r="C69" s="12"/>
      <x:c r="D69" s="12"/>
      <x:c r="E69" s="12"/>
      <x:c r="F69" s="12"/>
      <x:c r="G69" s="12"/>
      <x:c r="H69" s="12"/>
      <x:c r="I69" s="12"/>
    </x:row>
    <x:row r="70">
      <x:c r="A70" s="37"/>
      <x:c r="B70" s="12"/>
      <x:c r="C70" s="12"/>
      <x:c r="D70" s="12"/>
      <x:c r="E70" s="12"/>
      <x:c r="F70" s="12"/>
      <x:c r="G70" s="12"/>
      <x:c r="H70" s="12"/>
      <x:c r="I70" s="12"/>
    </x:row>
    <x:row r="71">
      <x:c r="A71" s="37"/>
      <x:c r="B71" s="12"/>
      <x:c r="C71" s="12"/>
      <x:c r="D71" s="12"/>
      <x:c r="E71" s="12"/>
      <x:c r="F71" s="12"/>
      <x:c r="G71" s="12"/>
      <x:c r="H71" s="12"/>
      <x:c r="I71" s="12"/>
    </x:row>
    <x:row r="72">
      <x:c r="A72" s="37"/>
      <x:c r="B72" s="12"/>
      <x:c r="C72" s="12"/>
      <x:c r="D72" s="12"/>
      <x:c r="E72" s="12"/>
      <x:c r="F72" s="12"/>
      <x:c r="G72" s="12"/>
      <x:c r="H72" s="12"/>
      <x:c r="I72" s="12"/>
    </x:row>
    <x:row r="73">
      <x:c r="A73" s="37"/>
      <x:c r="B73" s="12"/>
      <x:c r="C73" s="12"/>
      <x:c r="D73" s="12"/>
      <x:c r="E73" s="12"/>
      <x:c r="F73" s="12"/>
      <x:c r="G73" s="12"/>
      <x:c r="H73" s="12"/>
      <x:c r="I73" s="12"/>
    </x:row>
    <x:row r="74">
      <x:c r="A74" s="37"/>
      <x:c r="B74" s="12"/>
      <x:c r="C74" s="12"/>
      <x:c r="D74" s="12"/>
      <x:c r="E74" s="12"/>
      <x:c r="F74" s="12"/>
      <x:c r="G74" s="12"/>
      <x:c r="H74" s="12"/>
      <x:c r="I74" s="12"/>
    </x:row>
    <x:row r="75">
      <x:c r="A75" s="37"/>
      <x:c r="B75" s="12"/>
      <x:c r="C75" s="12"/>
      <x:c r="D75" s="12"/>
      <x:c r="E75" s="12"/>
      <x:c r="F75" s="12"/>
      <x:c r="G75" s="12"/>
      <x:c r="H75" s="12"/>
      <x:c r="I75" s="12"/>
    </x:row>
    <x:row r="76">
      <x:c r="A76" s="37"/>
      <x:c r="B76" s="12"/>
      <x:c r="C76" s="12"/>
      <x:c r="D76" s="12"/>
      <x:c r="E76" s="12"/>
      <x:c r="F76" s="12"/>
      <x:c r="G76" s="12"/>
      <x:c r="H76" s="12"/>
      <x:c r="I76" s="12"/>
    </x:row>
    <x:row r="77">
      <x:c r="A77" s="37"/>
      <x:c r="B77" s="12"/>
      <x:c r="C77" s="12"/>
      <x:c r="D77" s="12"/>
      <x:c r="E77" s="12"/>
      <x:c r="F77" s="12"/>
      <x:c r="G77" s="12"/>
      <x:c r="H77" s="12"/>
      <x:c r="I77" s="12"/>
    </x:row>
    <x:row r="78">
      <x:c r="A78" s="37"/>
      <x:c r="B78" s="12"/>
      <x:c r="C78" s="12"/>
      <x:c r="D78" s="12"/>
      <x:c r="E78" s="12"/>
      <x:c r="F78" s="12"/>
      <x:c r="G78" s="12"/>
      <x:c r="H78" s="12"/>
      <x:c r="I78" s="12"/>
    </x:row>
    <x:row r="79">
      <x:c r="A79" s="37"/>
      <x:c r="B79" s="12"/>
      <x:c r="C79" s="12"/>
      <x:c r="D79" s="12"/>
      <x:c r="E79" s="12"/>
      <x:c r="F79" s="12"/>
      <x:c r="G79" s="12"/>
      <x:c r="H79" s="12"/>
      <x:c r="I79" s="12"/>
    </x:row>
    <x:row r="80">
      <x:c r="A80" s="37"/>
      <x:c r="B80" s="12"/>
      <x:c r="C80" s="12"/>
      <x:c r="D80" s="12"/>
      <x:c r="E80" s="12"/>
      <x:c r="F80" s="12"/>
      <x:c r="G80" s="12"/>
      <x:c r="H80" s="12"/>
      <x:c r="I80" s="12"/>
    </x:row>
    <x:row r="81">
      <x:c r="A81" s="37"/>
      <x:c r="B81" s="12"/>
      <x:c r="C81" s="12"/>
      <x:c r="D81" s="12"/>
      <x:c r="E81" s="12"/>
      <x:c r="F81" s="12"/>
      <x:c r="G81" s="12"/>
      <x:c r="H81" s="12"/>
      <x:c r="I81" s="12"/>
    </x:row>
    <x:row r="82">
      <x:c r="A82" s="37"/>
      <x:c r="B82" s="12"/>
      <x:c r="C82" s="12"/>
      <x:c r="D82" s="12"/>
      <x:c r="E82" s="12"/>
      <x:c r="F82" s="12"/>
      <x:c r="G82" s="12"/>
      <x:c r="H82" s="12"/>
      <x:c r="I82" s="12"/>
    </x:row>
    <x:row r="83">
      <x:c r="A83" s="37"/>
      <x:c r="B83" s="12"/>
      <x:c r="C83" s="12"/>
      <x:c r="D83" s="12"/>
      <x:c r="E83" s="12"/>
      <x:c r="F83" s="12"/>
      <x:c r="G83" s="12"/>
      <x:c r="H83" s="12"/>
      <x:c r="I83" s="12"/>
    </x:row>
    <x:row r="84">
      <x:c r="A84" s="37"/>
      <x:c r="B84" s="12"/>
      <x:c r="C84" s="12"/>
      <x:c r="D84" s="12"/>
      <x:c r="E84" s="12"/>
      <x:c r="F84" s="12"/>
      <x:c r="G84" s="12"/>
      <x:c r="H84" s="12"/>
      <x:c r="I84" s="12"/>
    </x:row>
    <x:row r="85">
      <x:c r="A85" s="37"/>
      <x:c r="B85" s="12"/>
      <x:c r="C85" s="12"/>
      <x:c r="D85" s="12"/>
      <x:c r="E85" s="12"/>
      <x:c r="F85" s="12"/>
      <x:c r="G85" s="12"/>
      <x:c r="H85" s="12"/>
      <x:c r="I85" s="12"/>
    </x:row>
    <x:row r="86">
      <x:c r="A86" s="37"/>
      <x:c r="B86" s="12"/>
      <x:c r="C86" s="12"/>
      <x:c r="D86" s="12"/>
      <x:c r="E86" s="12"/>
      <x:c r="F86" s="12"/>
      <x:c r="G86" s="12"/>
      <x:c r="H86" s="12"/>
      <x:c r="I86" s="12"/>
    </x:row>
    <x:row r="87">
      <x:c r="A87" s="37"/>
      <x:c r="B87" s="12"/>
      <x:c r="C87" s="12"/>
      <x:c r="D87" s="12"/>
      <x:c r="E87" s="12"/>
      <x:c r="F87" s="12"/>
      <x:c r="G87" s="12"/>
      <x:c r="H87" s="12"/>
      <x:c r="I87" s="12"/>
    </x:row>
    <x:row r="88">
      <x:c r="A88" s="37"/>
      <x:c r="B88" s="12"/>
      <x:c r="C88" s="12"/>
      <x:c r="D88" s="12"/>
      <x:c r="E88" s="12"/>
      <x:c r="F88" s="12"/>
      <x:c r="G88" s="12"/>
      <x:c r="H88" s="12"/>
      <x:c r="I88" s="12"/>
    </x:row>
    <x:row r="89">
      <x:c r="A89" s="37"/>
      <x:c r="B89" s="12"/>
      <x:c r="C89" s="12"/>
      <x:c r="D89" s="12"/>
      <x:c r="E89" s="12"/>
      <x:c r="F89" s="12"/>
      <x:c r="G89" s="12"/>
      <x:c r="H89" s="12"/>
      <x:c r="I89" s="12"/>
    </x:row>
    <x:row r="90">
      <x:c r="A90" s="37"/>
      <x:c r="B90" s="12"/>
      <x:c r="C90" s="12"/>
      <x:c r="D90" s="12"/>
      <x:c r="E90" s="12"/>
      <x:c r="F90" s="12"/>
      <x:c r="G90" s="12"/>
      <x:c r="H90" s="12"/>
      <x:c r="I90" s="12"/>
    </x:row>
    <x:row r="91">
      <x:c r="A91" s="37"/>
      <x:c r="B91" s="12"/>
      <x:c r="C91" s="12"/>
      <x:c r="D91" s="12"/>
      <x:c r="E91" s="12"/>
      <x:c r="F91" s="12"/>
      <x:c r="G91" s="12"/>
      <x:c r="H91" s="12"/>
      <x:c r="I91" s="12"/>
    </x:row>
    <x:row r="92">
      <x:c r="A92" s="37"/>
      <x:c r="B92" s="12"/>
      <x:c r="C92" s="12"/>
      <x:c r="D92" s="12"/>
      <x:c r="E92" s="12"/>
      <x:c r="F92" s="12"/>
      <x:c r="G92" s="12"/>
      <x:c r="H92" s="12"/>
      <x:c r="I92" s="12"/>
    </x:row>
    <x:row r="93">
      <x:c r="A93" s="37"/>
      <x:c r="B93" s="12"/>
      <x:c r="C93" s="12"/>
      <x:c r="D93" s="12"/>
      <x:c r="E93" s="12"/>
      <x:c r="F93" s="12"/>
      <x:c r="G93" s="12"/>
      <x:c r="H93" s="12"/>
      <x:c r="I93" s="12"/>
    </x:row>
    <x:row r="94">
      <x:c r="A94" s="37"/>
      <x:c r="B94" s="12"/>
      <x:c r="C94" s="12"/>
      <x:c r="D94" s="12"/>
      <x:c r="E94" s="12"/>
      <x:c r="F94" s="12"/>
      <x:c r="G94" s="12"/>
      <x:c r="H94" s="12"/>
      <x:c r="I94" s="12"/>
    </x:row>
    <x:row r="95">
      <x:c r="A95" s="37"/>
      <x:c r="B95" s="12"/>
      <x:c r="C95" s="12"/>
      <x:c r="D95" s="12"/>
      <x:c r="E95" s="12"/>
      <x:c r="F95" s="12"/>
      <x:c r="G95" s="12"/>
      <x:c r="H95" s="12"/>
      <x:c r="I95" s="12"/>
    </x:row>
    <x:row r="96">
      <x:c r="A96" s="37"/>
      <x:c r="B96" s="12"/>
      <x:c r="C96" s="12"/>
      <x:c r="D96" s="12"/>
      <x:c r="E96" s="12"/>
      <x:c r="F96" s="12"/>
      <x:c r="G96" s="12"/>
      <x:c r="H96" s="12"/>
      <x:c r="I96" s="12"/>
    </x:row>
    <x:row r="97">
      <x:c r="A97" s="37"/>
      <x:c r="B97" s="12"/>
      <x:c r="C97" s="12"/>
      <x:c r="D97" s="12"/>
      <x:c r="E97" s="12"/>
      <x:c r="F97" s="12"/>
      <x:c r="G97" s="12"/>
      <x:c r="H97" s="12"/>
      <x:c r="I97" s="12"/>
    </x:row>
    <x:row r="98">
      <x:c r="A98" s="37"/>
      <x:c r="B98" s="12"/>
      <x:c r="C98" s="12"/>
      <x:c r="D98" s="12"/>
      <x:c r="E98" s="12"/>
      <x:c r="F98" s="12"/>
      <x:c r="G98" s="12"/>
      <x:c r="H98" s="12"/>
      <x:c r="I98" s="12"/>
    </x:row>
    <x:row r="99">
      <x:c r="A99" s="37"/>
      <x:c r="B99" s="12"/>
      <x:c r="C99" s="12"/>
      <x:c r="D99" s="12"/>
      <x:c r="E99" s="12"/>
      <x:c r="F99" s="12"/>
      <x:c r="G99" s="12"/>
      <x:c r="H99" s="12"/>
      <x:c r="I99" s="12"/>
    </x:row>
    <x:row r="100">
      <x:c r="A100" s="37"/>
      <x:c r="B100" s="12"/>
      <x:c r="C100" s="12"/>
      <x:c r="D100" s="12"/>
      <x:c r="E100" s="12"/>
      <x:c r="F100" s="12"/>
      <x:c r="G100" s="12"/>
      <x:c r="H100" s="12"/>
      <x:c r="I100" s="12"/>
    </x:row>
    <x:row r="101">
      <x:c r="A101" s="37"/>
      <x:c r="B101" s="12"/>
      <x:c r="C101" s="12"/>
      <x:c r="D101" s="12"/>
      <x:c r="E101" s="12"/>
      <x:c r="F101" s="12"/>
      <x:c r="G101" s="12"/>
      <x:c r="H101" s="12"/>
      <x:c r="I101" s="12"/>
    </x:row>
    <x:row r="102">
      <x:c r="A102" s="37"/>
      <x:c r="B102" s="12"/>
      <x:c r="C102" s="12"/>
      <x:c r="D102" s="12"/>
      <x:c r="E102" s="12"/>
      <x:c r="F102" s="12"/>
      <x:c r="G102" s="12"/>
      <x:c r="H102" s="12"/>
      <x:c r="I102" s="12"/>
    </x:row>
    <x:row r="103">
      <x:c r="A103" s="37"/>
      <x:c r="B103" s="12"/>
      <x:c r="C103" s="12"/>
      <x:c r="D103" s="12"/>
      <x:c r="E103" s="12"/>
      <x:c r="F103" s="12"/>
      <x:c r="G103" s="12"/>
      <x:c r="H103" s="12"/>
      <x:c r="I103" s="12"/>
    </x:row>
    <x:row r="104">
      <x:c r="A104" s="37"/>
      <x:c r="B104" s="12"/>
      <x:c r="C104" s="12"/>
      <x:c r="D104" s="12"/>
      <x:c r="E104" s="12"/>
      <x:c r="F104" s="12"/>
      <x:c r="G104" s="12"/>
      <x:c r="H104" s="12"/>
      <x:c r="I104" s="12"/>
    </x:row>
    <x:row r="105">
      <x:c r="A105" s="37"/>
      <x:c r="B105" s="12"/>
      <x:c r="C105" s="12"/>
      <x:c r="D105" s="12"/>
      <x:c r="E105" s="12"/>
      <x:c r="F105" s="12"/>
      <x:c r="G105" s="12"/>
      <x:c r="H105" s="12"/>
      <x:c r="I105" s="12"/>
    </x:row>
    <x:row r="106">
      <x:c r="A106" s="37"/>
      <x:c r="B106" s="12"/>
      <x:c r="C106" s="12"/>
      <x:c r="D106" s="12"/>
      <x:c r="E106" s="12"/>
      <x:c r="F106" s="12"/>
      <x:c r="G106" s="12"/>
      <x:c r="H106" s="12"/>
      <x:c r="I106" s="12"/>
    </x:row>
    <x:row r="107">
      <x:c r="A107" s="37"/>
      <x:c r="B107" s="12"/>
      <x:c r="C107" s="12"/>
      <x:c r="D107" s="12"/>
      <x:c r="E107" s="12"/>
      <x:c r="F107" s="12"/>
      <x:c r="G107" s="12"/>
      <x:c r="H107" s="12"/>
      <x:c r="I107" s="12"/>
    </x:row>
    <x:row r="108">
      <x:c r="A108" s="37"/>
      <x:c r="B108" s="12"/>
      <x:c r="C108" s="12"/>
      <x:c r="D108" s="12"/>
      <x:c r="E108" s="12"/>
      <x:c r="F108" s="12"/>
      <x:c r="G108" s="12"/>
      <x:c r="H108" s="12"/>
      <x:c r="I108" s="12"/>
    </x:row>
    <x:row r="109">
      <x:c r="A109" s="37"/>
      <x:c r="B109" s="12"/>
      <x:c r="C109" s="12"/>
      <x:c r="D109" s="12"/>
      <x:c r="E109" s="12"/>
      <x:c r="F109" s="12"/>
      <x:c r="G109" s="12"/>
      <x:c r="H109" s="12"/>
      <x:c r="I109" s="12"/>
    </x:row>
    <x:row r="110">
      <x:c r="A110" s="37"/>
      <x:c r="B110" s="12"/>
      <x:c r="C110" s="12"/>
      <x:c r="D110" s="12"/>
      <x:c r="E110" s="12"/>
      <x:c r="F110" s="12"/>
      <x:c r="G110" s="12"/>
      <x:c r="H110" s="12"/>
      <x:c r="I110" s="12"/>
    </x:row>
    <x:row r="111">
      <x:c r="A111" s="37"/>
      <x:c r="B111" s="12"/>
      <x:c r="C111" s="12"/>
      <x:c r="D111" s="12"/>
      <x:c r="E111" s="12"/>
      <x:c r="F111" s="12"/>
      <x:c r="G111" s="12"/>
      <x:c r="H111" s="12"/>
      <x:c r="I111" s="12"/>
    </x:row>
    <x:row r="112">
      <x:c r="A112" s="37"/>
      <x:c r="B112" s="12"/>
      <x:c r="C112" s="12"/>
      <x:c r="D112" s="12"/>
      <x:c r="E112" s="12"/>
      <x:c r="F112" s="12"/>
      <x:c r="G112" s="12"/>
      <x:c r="H112" s="12"/>
      <x:c r="I112" s="12"/>
    </x:row>
    <x:row r="113">
      <x:c r="A113" s="37"/>
      <x:c r="B113" s="12"/>
      <x:c r="C113" s="12"/>
      <x:c r="D113" s="12"/>
      <x:c r="E113" s="12"/>
      <x:c r="F113" s="12"/>
      <x:c r="G113" s="12"/>
      <x:c r="H113" s="12"/>
      <x:c r="I113" s="12"/>
    </x:row>
    <x:row r="114">
      <x:c r="A114" s="37"/>
      <x:c r="B114" s="12"/>
      <x:c r="C114" s="12"/>
      <x:c r="D114" s="12"/>
      <x:c r="E114" s="12"/>
      <x:c r="F114" s="12"/>
      <x:c r="G114" s="12"/>
      <x:c r="H114" s="12"/>
      <x:c r="I114" s="12"/>
    </x:row>
    <x:row r="115">
      <x:c r="A115" s="37"/>
      <x:c r="B115" s="12"/>
      <x:c r="C115" s="12"/>
      <x:c r="D115" s="12"/>
      <x:c r="E115" s="12"/>
      <x:c r="F115" s="12"/>
      <x:c r="G115" s="12"/>
      <x:c r="H115" s="12"/>
      <x:c r="I115" s="12"/>
    </x:row>
    <x:row r="116">
      <x:c r="A116" s="37"/>
      <x:c r="B116" s="12"/>
      <x:c r="C116" s="12"/>
      <x:c r="D116" s="12"/>
      <x:c r="E116" s="12"/>
      <x:c r="F116" s="12"/>
      <x:c r="G116" s="12"/>
      <x:c r="H116" s="12"/>
      <x:c r="I116" s="12"/>
    </x:row>
    <x:row r="117">
      <x:c r="A117" s="37"/>
      <x:c r="B117" s="12"/>
      <x:c r="C117" s="12"/>
      <x:c r="D117" s="12"/>
      <x:c r="E117" s="12"/>
      <x:c r="F117" s="12"/>
      <x:c r="G117" s="12"/>
      <x:c r="H117" s="12"/>
      <x:c r="I117" s="12"/>
    </x:row>
    <x:row r="118">
      <x:c r="A118" s="37"/>
      <x:c r="B118" s="12"/>
      <x:c r="C118" s="12"/>
      <x:c r="D118" s="12"/>
      <x:c r="E118" s="12"/>
      <x:c r="F118" s="12"/>
      <x:c r="G118" s="12"/>
      <x:c r="H118" s="12"/>
      <x:c r="I118" s="12"/>
    </x:row>
    <x:row r="119">
      <x:c r="A119" s="37"/>
      <x:c r="B119" s="12"/>
      <x:c r="C119" s="12"/>
      <x:c r="D119" s="12"/>
      <x:c r="E119" s="12"/>
      <x:c r="F119" s="12"/>
      <x:c r="G119" s="12"/>
      <x:c r="H119" s="12"/>
      <x:c r="I119" s="12"/>
    </x:row>
    <x:row r="120">
      <x:c r="A120" s="37"/>
      <x:c r="B120" s="12"/>
      <x:c r="C120" s="12"/>
      <x:c r="D120" s="12"/>
      <x:c r="E120" s="12"/>
      <x:c r="F120" s="12"/>
      <x:c r="G120" s="12"/>
      <x:c r="H120" s="12"/>
      <x:c r="I120" s="12"/>
    </x:row>
    <x:row r="121">
      <x:c r="A121" s="37"/>
      <x:c r="B121" s="12"/>
      <x:c r="C121" s="12"/>
      <x:c r="D121" s="12"/>
      <x:c r="E121" s="12"/>
      <x:c r="F121" s="12"/>
      <x:c r="G121" s="12"/>
      <x:c r="H121" s="12"/>
      <x:c r="I121" s="12"/>
    </x:row>
    <x:row r="122">
      <x:c r="A122" s="37"/>
      <x:c r="B122" s="12"/>
      <x:c r="C122" s="12"/>
      <x:c r="D122" s="12"/>
      <x:c r="E122" s="12"/>
      <x:c r="F122" s="12"/>
      <x:c r="G122" s="12"/>
      <x:c r="H122" s="12"/>
      <x:c r="I122" s="12"/>
    </x:row>
    <x:row r="123">
      <x:c r="A123" s="37"/>
      <x:c r="B123" s="12"/>
      <x:c r="C123" s="12"/>
      <x:c r="D123" s="12"/>
      <x:c r="E123" s="12"/>
      <x:c r="F123" s="12"/>
      <x:c r="G123" s="12"/>
      <x:c r="H123" s="12"/>
      <x:c r="I123" s="12"/>
    </x:row>
    <x:row r="124">
      <x:c r="A124" s="37"/>
      <x:c r="B124" s="12"/>
      <x:c r="C124" s="12"/>
      <x:c r="D124" s="12"/>
      <x:c r="E124" s="12"/>
      <x:c r="F124" s="12"/>
      <x:c r="G124" s="12"/>
      <x:c r="H124" s="12"/>
      <x:c r="I124" s="12"/>
    </x:row>
    <x:row r="125">
      <x:c r="A125" s="37"/>
      <x:c r="B125" s="12"/>
      <x:c r="C125" s="12"/>
      <x:c r="D125" s="12"/>
      <x:c r="E125" s="12"/>
      <x:c r="F125" s="12"/>
      <x:c r="G125" s="12"/>
      <x:c r="H125" s="12"/>
      <x:c r="I125" s="12"/>
    </x:row>
    <x:row r="126">
      <x:c r="A126" s="37"/>
      <x:c r="B126" s="12"/>
      <x:c r="C126" s="12"/>
      <x:c r="D126" s="12"/>
      <x:c r="E126" s="12"/>
      <x:c r="F126" s="12"/>
      <x:c r="G126" s="12"/>
      <x:c r="H126" s="12"/>
      <x:c r="I126" s="12"/>
    </x:row>
    <x:row r="127">
      <x:c r="A127" s="37"/>
      <x:c r="B127" s="12"/>
      <x:c r="C127" s="12"/>
      <x:c r="D127" s="12"/>
      <x:c r="E127" s="12"/>
      <x:c r="F127" s="12"/>
      <x:c r="G127" s="12"/>
      <x:c r="H127" s="12"/>
      <x:c r="I127" s="12"/>
    </x:row>
    <x:row r="128">
      <x:c r="A128" s="37"/>
      <x:c r="B128" s="12"/>
      <x:c r="C128" s="12"/>
      <x:c r="D128" s="12"/>
      <x:c r="E128" s="12"/>
      <x:c r="F128" s="12"/>
      <x:c r="G128" s="12"/>
      <x:c r="H128" s="12"/>
      <x:c r="I128" s="12"/>
    </x:row>
    <x:row r="129">
      <x:c r="A129" s="37"/>
      <x:c r="B129" s="12"/>
      <x:c r="C129" s="12"/>
      <x:c r="D129" s="12"/>
      <x:c r="E129" s="12"/>
      <x:c r="F129" s="12"/>
      <x:c r="G129" s="12"/>
      <x:c r="H129" s="12"/>
      <x:c r="I129" s="12"/>
    </x:row>
    <x:row r="130">
      <x:c r="A130" s="37"/>
      <x:c r="B130" s="12"/>
      <x:c r="C130" s="12"/>
      <x:c r="D130" s="12"/>
      <x:c r="E130" s="12"/>
      <x:c r="F130" s="12"/>
      <x:c r="G130" s="12"/>
      <x:c r="H130" s="12"/>
      <x:c r="I130" s="12"/>
    </x:row>
    <x:row r="131">
      <x:c r="A131" s="37"/>
      <x:c r="B131" s="12"/>
      <x:c r="C131" s="12"/>
      <x:c r="D131" s="12"/>
      <x:c r="E131" s="12"/>
      <x:c r="F131" s="12"/>
      <x:c r="G131" s="12"/>
      <x:c r="H131" s="12"/>
      <x:c r="I131" s="12"/>
    </x:row>
    <x:row r="132">
      <x:c r="A132" s="37"/>
      <x:c r="B132" s="12"/>
      <x:c r="C132" s="12"/>
      <x:c r="D132" s="12"/>
      <x:c r="E132" s="12"/>
      <x:c r="F132" s="12"/>
      <x:c r="G132" s="12"/>
      <x:c r="H132" s="12"/>
      <x:c r="I132" s="12"/>
    </x:row>
    <x:row r="133">
      <x:c r="A133" s="37"/>
      <x:c r="B133" s="12"/>
      <x:c r="C133" s="12"/>
      <x:c r="D133" s="12"/>
      <x:c r="E133" s="12"/>
      <x:c r="F133" s="12"/>
      <x:c r="G133" s="12"/>
      <x:c r="H133" s="12"/>
      <x:c r="I133" s="12"/>
    </x:row>
    <x:row r="134">
      <x:c r="A134" s="37"/>
      <x:c r="B134" s="12"/>
      <x:c r="C134" s="12"/>
      <x:c r="D134" s="12"/>
      <x:c r="E134" s="12"/>
      <x:c r="F134" s="12"/>
      <x:c r="G134" s="12"/>
      <x:c r="H134" s="12"/>
      <x:c r="I134" s="12"/>
    </x:row>
    <x:row r="135">
      <x:c r="A135" s="37"/>
      <x:c r="B135" s="12"/>
      <x:c r="C135" s="12"/>
      <x:c r="D135" s="12"/>
      <x:c r="E135" s="12"/>
      <x:c r="F135" s="12"/>
      <x:c r="G135" s="12"/>
      <x:c r="H135" s="12"/>
      <x:c r="I135" s="12"/>
    </x:row>
    <x:row r="136">
      <x:c r="A136" s="37"/>
      <x:c r="B136" s="12"/>
      <x:c r="C136" s="12"/>
      <x:c r="D136" s="12"/>
      <x:c r="E136" s="12"/>
      <x:c r="F136" s="12"/>
      <x:c r="G136" s="12"/>
      <x:c r="H136" s="12"/>
      <x:c r="I136" s="12"/>
    </x:row>
    <x:row r="137">
      <x:c r="A137" s="37"/>
      <x:c r="B137" s="12"/>
      <x:c r="C137" s="12"/>
      <x:c r="D137" s="12"/>
      <x:c r="E137" s="12"/>
      <x:c r="F137" s="12"/>
      <x:c r="G137" s="12"/>
      <x:c r="H137" s="12"/>
      <x:c r="I137" s="12"/>
    </x:row>
    <x:row r="138">
      <x:c r="A138" s="37"/>
      <x:c r="B138" s="12"/>
      <x:c r="C138" s="12"/>
      <x:c r="D138" s="12"/>
      <x:c r="E138" s="12"/>
      <x:c r="F138" s="12"/>
      <x:c r="G138" s="12"/>
      <x:c r="H138" s="12"/>
      <x:c r="I138" s="12"/>
    </x:row>
    <x:row r="139">
      <x:c r="A139" s="37"/>
      <x:c r="B139" s="12"/>
      <x:c r="C139" s="12"/>
      <x:c r="D139" s="12"/>
      <x:c r="E139" s="12"/>
      <x:c r="F139" s="12"/>
      <x:c r="G139" s="12"/>
      <x:c r="H139" s="12"/>
      <x:c r="I139" s="12"/>
    </x:row>
    <x:row r="140">
      <x:c r="A140" s="37"/>
      <x:c r="B140" s="12"/>
      <x:c r="C140" s="12"/>
      <x:c r="D140" s="12"/>
      <x:c r="E140" s="12"/>
      <x:c r="F140" s="12"/>
      <x:c r="G140" s="12"/>
      <x:c r="H140" s="12"/>
      <x:c r="I140" s="12"/>
    </x:row>
    <x:row r="141">
      <x:c r="A141" s="37"/>
      <x:c r="B141" s="12"/>
      <x:c r="C141" s="12"/>
      <x:c r="D141" s="12"/>
      <x:c r="E141" s="12"/>
      <x:c r="F141" s="12"/>
      <x:c r="G141" s="12"/>
      <x:c r="H141" s="12"/>
      <x:c r="I141" s="12"/>
    </x:row>
    <x:row r="142">
      <x:c r="A142" s="37"/>
      <x:c r="B142" s="12"/>
      <x:c r="C142" s="12"/>
      <x:c r="D142" s="12"/>
      <x:c r="E142" s="12"/>
      <x:c r="F142" s="12"/>
      <x:c r="G142" s="12"/>
      <x:c r="H142" s="12"/>
      <x:c r="I142" s="12"/>
    </x:row>
    <x:row r="143">
      <x:c r="A143" s="37"/>
      <x:c r="B143" s="12"/>
      <x:c r="C143" s="12"/>
      <x:c r="D143" s="12"/>
      <x:c r="E143" s="12"/>
      <x:c r="F143" s="12"/>
      <x:c r="G143" s="12"/>
      <x:c r="H143" s="12"/>
      <x:c r="I143" s="12"/>
    </x:row>
    <x:row r="144">
      <x:c r="A144" s="37"/>
      <x:c r="B144" s="12"/>
      <x:c r="C144" s="12"/>
      <x:c r="D144" s="12"/>
      <x:c r="E144" s="12"/>
      <x:c r="F144" s="12"/>
      <x:c r="G144" s="12"/>
      <x:c r="H144" s="12"/>
      <x:c r="I144" s="12"/>
    </x:row>
    <x:row r="145">
      <x:c r="A145" s="37"/>
      <x:c r="B145" s="12"/>
      <x:c r="C145" s="12"/>
      <x:c r="D145" s="12"/>
      <x:c r="E145" s="12"/>
      <x:c r="F145" s="12"/>
      <x:c r="G145" s="12"/>
      <x:c r="H145" s="12"/>
      <x:c r="I145" s="12"/>
    </x:row>
    <x:row r="146">
      <x:c r="A146" s="37"/>
      <x:c r="B146" s="12"/>
      <x:c r="C146" s="12"/>
      <x:c r="D146" s="12"/>
      <x:c r="E146" s="12"/>
      <x:c r="F146" s="12"/>
      <x:c r="G146" s="12"/>
      <x:c r="H146" s="12"/>
      <x:c r="I146" s="12"/>
    </x:row>
    <x:row r="147">
      <x:c r="A147" s="37"/>
      <x:c r="B147" s="12"/>
      <x:c r="C147" s="12"/>
      <x:c r="D147" s="12"/>
      <x:c r="E147" s="12"/>
      <x:c r="F147" s="12"/>
      <x:c r="G147" s="12"/>
      <x:c r="H147" s="12"/>
      <x:c r="I147" s="12"/>
    </x:row>
    <x:row r="148">
      <x:c r="A148" s="37"/>
      <x:c r="B148" s="12"/>
      <x:c r="C148" s="12"/>
      <x:c r="D148" s="12"/>
      <x:c r="E148" s="12"/>
      <x:c r="F148" s="12"/>
      <x:c r="G148" s="12"/>
      <x:c r="H148" s="12"/>
      <x:c r="I148" s="12"/>
    </x:row>
    <x:row r="149">
      <x:c r="A149" s="37"/>
      <x:c r="B149" s="12"/>
      <x:c r="C149" s="12"/>
      <x:c r="D149" s="12"/>
      <x:c r="E149" s="12"/>
      <x:c r="F149" s="12"/>
      <x:c r="G149" s="12"/>
      <x:c r="H149" s="12"/>
      <x:c r="I149" s="12"/>
    </x:row>
    <x:row r="150">
      <x:c r="A150" s="37"/>
      <x:c r="B150" s="12"/>
      <x:c r="C150" s="12"/>
      <x:c r="D150" s="12"/>
      <x:c r="E150" s="12"/>
      <x:c r="F150" s="12"/>
      <x:c r="G150" s="12"/>
      <x:c r="H150" s="12"/>
      <x:c r="I150" s="12"/>
    </x:row>
    <x:row r="151">
      <x:c r="A151" s="37"/>
      <x:c r="B151" s="12"/>
      <x:c r="C151" s="12"/>
      <x:c r="D151" s="12"/>
      <x:c r="E151" s="12"/>
      <x:c r="F151" s="12"/>
      <x:c r="G151" s="12"/>
      <x:c r="H151" s="12"/>
      <x:c r="I151" s="12"/>
    </x:row>
    <x:row r="152">
      <x:c r="A152" s="37"/>
      <x:c r="B152" s="12"/>
      <x:c r="C152" s="12"/>
      <x:c r="D152" s="12"/>
      <x:c r="E152" s="12"/>
      <x:c r="F152" s="12"/>
      <x:c r="G152" s="12"/>
      <x:c r="H152" s="12"/>
      <x:c r="I152" s="12"/>
    </x:row>
    <x:row r="153">
      <x:c r="A153" s="37"/>
      <x:c r="B153" s="12"/>
      <x:c r="C153" s="12"/>
      <x:c r="D153" s="12"/>
      <x:c r="E153" s="12"/>
      <x:c r="F153" s="12"/>
      <x:c r="G153" s="12"/>
      <x:c r="H153" s="12"/>
      <x:c r="I153" s="12"/>
    </x:row>
    <x:row r="154">
      <x:c r="A154" s="37"/>
      <x:c r="B154" s="12"/>
      <x:c r="C154" s="12"/>
      <x:c r="D154" s="12"/>
      <x:c r="E154" s="12"/>
      <x:c r="F154" s="12"/>
      <x:c r="G154" s="12"/>
      <x:c r="H154" s="12"/>
      <x:c r="I154" s="12"/>
    </x:row>
    <x:row r="155">
      <x:c r="A155" s="37"/>
      <x:c r="B155" s="12"/>
      <x:c r="C155" s="12"/>
      <x:c r="D155" s="12"/>
      <x:c r="E155" s="12"/>
      <x:c r="F155" s="12"/>
      <x:c r="G155" s="12"/>
      <x:c r="H155" s="12"/>
      <x:c r="I155" s="12"/>
    </x:row>
    <x:row r="156">
      <x:c r="A156" s="37"/>
      <x:c r="B156" s="12"/>
      <x:c r="C156" s="12"/>
      <x:c r="D156" s="12"/>
      <x:c r="E156" s="12"/>
      <x:c r="F156" s="12"/>
      <x:c r="G156" s="12"/>
      <x:c r="H156" s="12"/>
      <x:c r="I156" s="12"/>
    </x:row>
    <x:row r="157">
      <x:c r="A157" s="37"/>
      <x:c r="B157" s="12"/>
      <x:c r="C157" s="12"/>
      <x:c r="D157" s="12"/>
      <x:c r="E157" s="12"/>
      <x:c r="F157" s="12"/>
      <x:c r="G157" s="12"/>
      <x:c r="H157" s="12"/>
      <x:c r="I157" s="12"/>
    </x:row>
    <x:row r="158">
      <x:c r="A158" s="37"/>
      <x:c r="B158" s="12"/>
      <x:c r="C158" s="12"/>
      <x:c r="D158" s="12"/>
      <x:c r="E158" s="12"/>
      <x:c r="F158" s="12"/>
      <x:c r="G158" s="12"/>
      <x:c r="H158" s="12"/>
      <x:c r="I158" s="12"/>
    </x:row>
    <x:row r="159">
      <x:c r="A159" s="37"/>
      <x:c r="B159" s="12"/>
      <x:c r="C159" s="12"/>
      <x:c r="D159" s="12"/>
      <x:c r="E159" s="12"/>
      <x:c r="F159" s="12"/>
      <x:c r="G159" s="12"/>
      <x:c r="H159" s="12"/>
      <x:c r="I159" s="12"/>
    </x:row>
    <x:row r="160">
      <x:c r="A160" s="37"/>
      <x:c r="B160" s="12"/>
      <x:c r="C160" s="12"/>
      <x:c r="D160" s="12"/>
      <x:c r="E160" s="12"/>
      <x:c r="F160" s="12"/>
      <x:c r="G160" s="12"/>
      <x:c r="H160" s="12"/>
      <x:c r="I160" s="12"/>
    </x:row>
    <x:row r="161">
      <x:c r="A161" s="37"/>
      <x:c r="B161" s="12"/>
      <x:c r="C161" s="12"/>
      <x:c r="D161" s="12"/>
      <x:c r="E161" s="12"/>
      <x:c r="F161" s="12"/>
      <x:c r="G161" s="12"/>
      <x:c r="H161" s="12"/>
      <x:c r="I161" s="12"/>
    </x:row>
    <x:row r="162">
      <x:c r="A162" s="37"/>
      <x:c r="B162" s="12"/>
      <x:c r="C162" s="12"/>
      <x:c r="D162" s="12"/>
      <x:c r="E162" s="12"/>
      <x:c r="F162" s="12"/>
      <x:c r="G162" s="12"/>
      <x:c r="H162" s="12"/>
      <x:c r="I162" s="12"/>
    </x:row>
    <x:row r="163">
      <x:c r="A163" s="37"/>
      <x:c r="B163" s="12"/>
      <x:c r="C163" s="12"/>
      <x:c r="D163" s="12"/>
      <x:c r="E163" s="12"/>
      <x:c r="F163" s="12"/>
      <x:c r="G163" s="12"/>
      <x:c r="H163" s="12"/>
      <x:c r="I163" s="12"/>
    </x:row>
    <x:row r="164">
      <x:c r="A164" s="37"/>
      <x:c r="B164" s="12"/>
      <x:c r="C164" s="12"/>
      <x:c r="D164" s="12"/>
      <x:c r="E164" s="12"/>
      <x:c r="F164" s="12"/>
      <x:c r="G164" s="12"/>
      <x:c r="H164" s="12"/>
      <x:c r="I164" s="12"/>
    </x:row>
    <x:row r="165">
      <x:c r="A165" s="37"/>
      <x:c r="B165" s="12"/>
      <x:c r="C165" s="12"/>
      <x:c r="D165" s="12"/>
      <x:c r="E165" s="12"/>
      <x:c r="F165" s="12"/>
      <x:c r="G165" s="12"/>
      <x:c r="H165" s="12"/>
      <x:c r="I165" s="12"/>
    </x:row>
    <x:row r="166">
      <x:c r="A166" s="37"/>
      <x:c r="B166" s="12"/>
      <x:c r="C166" s="12"/>
      <x:c r="D166" s="12"/>
      <x:c r="E166" s="12"/>
      <x:c r="F166" s="12"/>
      <x:c r="G166" s="12"/>
      <x:c r="H166" s="12"/>
      <x:c r="I166" s="12"/>
    </x:row>
    <x:row r="167">
      <x:c r="A167" s="37"/>
      <x:c r="B167" s="12"/>
      <x:c r="C167" s="12"/>
      <x:c r="D167" s="12"/>
      <x:c r="E167" s="12"/>
      <x:c r="F167" s="12"/>
      <x:c r="G167" s="12"/>
      <x:c r="H167" s="12"/>
      <x:c r="I167" s="12"/>
    </x:row>
    <x:row r="168">
      <x:c r="A168" s="37"/>
      <x:c r="B168" s="12"/>
      <x:c r="C168" s="12"/>
      <x:c r="D168" s="12"/>
      <x:c r="E168" s="12"/>
      <x:c r="F168" s="12"/>
      <x:c r="G168" s="12"/>
      <x:c r="H168" s="12"/>
      <x:c r="I168" s="12"/>
    </x:row>
    <x:row r="169">
      <x:c r="A169" s="37"/>
      <x:c r="B169" s="12"/>
      <x:c r="C169" s="12"/>
      <x:c r="D169" s="12"/>
      <x:c r="E169" s="12"/>
      <x:c r="F169" s="12"/>
      <x:c r="G169" s="12"/>
      <x:c r="H169" s="12"/>
      <x:c r="I169" s="12"/>
    </x:row>
    <x:row r="170">
      <x:c r="A170" s="37"/>
      <x:c r="B170" s="12"/>
      <x:c r="C170" s="12"/>
      <x:c r="D170" s="12"/>
      <x:c r="E170" s="12"/>
      <x:c r="F170" s="12"/>
      <x:c r="G170" s="12"/>
      <x:c r="H170" s="12"/>
      <x:c r="I170" s="12"/>
    </x:row>
    <x:row r="171">
      <x:c r="A171" s="37"/>
      <x:c r="B171" s="12"/>
      <x:c r="C171" s="12"/>
      <x:c r="D171" s="12"/>
      <x:c r="E171" s="12"/>
      <x:c r="F171" s="12"/>
      <x:c r="G171" s="12"/>
      <x:c r="H171" s="12"/>
      <x:c r="I171" s="12"/>
    </x:row>
    <x:row r="172">
      <x:c r="A172" s="37"/>
      <x:c r="B172" s="12"/>
      <x:c r="C172" s="12"/>
      <x:c r="D172" s="12"/>
      <x:c r="E172" s="12"/>
      <x:c r="F172" s="12"/>
      <x:c r="G172" s="12"/>
      <x:c r="H172" s="12"/>
      <x:c r="I172" s="12"/>
    </x:row>
    <x:row r="173">
      <x:c r="A173" s="37"/>
      <x:c r="B173" s="12"/>
      <x:c r="C173" s="12"/>
      <x:c r="D173" s="12"/>
      <x:c r="E173" s="12"/>
      <x:c r="F173" s="12"/>
      <x:c r="G173" s="12"/>
      <x:c r="H173" s="12"/>
      <x:c r="I173" s="12"/>
    </x:row>
    <x:row r="174">
      <x:c r="A174" s="37"/>
      <x:c r="B174" s="12"/>
      <x:c r="C174" s="12"/>
      <x:c r="D174" s="12"/>
      <x:c r="E174" s="12"/>
      <x:c r="F174" s="12"/>
      <x:c r="G174" s="12"/>
      <x:c r="H174" s="12"/>
      <x:c r="I174" s="12"/>
    </x:row>
    <x:row r="175">
      <x:c r="A175" s="37"/>
      <x:c r="B175" s="12"/>
      <x:c r="C175" s="12"/>
      <x:c r="D175" s="12"/>
      <x:c r="E175" s="12"/>
      <x:c r="F175" s="12"/>
      <x:c r="G175" s="12"/>
      <x:c r="H175" s="12"/>
      <x:c r="I175" s="12"/>
    </x:row>
    <x:row r="176">
      <x:c r="A176" s="37"/>
      <x:c r="B176" s="12"/>
      <x:c r="C176" s="12"/>
      <x:c r="D176" s="12"/>
      <x:c r="E176" s="12"/>
      <x:c r="F176" s="12"/>
      <x:c r="G176" s="12"/>
      <x:c r="H176" s="12"/>
      <x:c r="I176" s="12"/>
    </x:row>
    <x:row r="177">
      <x:c r="A177" s="37"/>
      <x:c r="B177" s="12"/>
      <x:c r="C177" s="12"/>
      <x:c r="D177" s="12"/>
      <x:c r="E177" s="12"/>
      <x:c r="F177" s="12"/>
      <x:c r="G177" s="12"/>
      <x:c r="H177" s="12"/>
      <x:c r="I177" s="12"/>
    </x:row>
    <x:row r="178">
      <x:c r="A178" s="37"/>
      <x:c r="B178" s="12"/>
      <x:c r="C178" s="12"/>
      <x:c r="D178" s="12"/>
      <x:c r="E178" s="12"/>
      <x:c r="F178" s="12"/>
      <x:c r="G178" s="12"/>
      <x:c r="H178" s="12"/>
      <x:c r="I178" s="12"/>
    </x:row>
    <x:row r="179">
      <x:c r="A179" s="37"/>
      <x:c r="B179" s="12"/>
      <x:c r="C179" s="12"/>
      <x:c r="D179" s="12"/>
      <x:c r="E179" s="12"/>
      <x:c r="F179" s="12"/>
      <x:c r="G179" s="12"/>
      <x:c r="H179" s="12"/>
      <x:c r="I179" s="12"/>
    </x:row>
    <x:row r="180">
      <x:c r="A180" s="37"/>
      <x:c r="B180" s="12"/>
      <x:c r="C180" s="12"/>
      <x:c r="D180" s="12"/>
      <x:c r="E180" s="12"/>
      <x:c r="F180" s="12"/>
      <x:c r="G180" s="12"/>
      <x:c r="H180" s="12"/>
      <x:c r="I180" s="12"/>
    </x:row>
    <x:row r="181">
      <x:c r="A181" s="37"/>
      <x:c r="B181" s="12"/>
      <x:c r="C181" s="12"/>
      <x:c r="D181" s="12"/>
      <x:c r="E181" s="12"/>
      <x:c r="F181" s="12"/>
      <x:c r="G181" s="12"/>
      <x:c r="H181" s="12"/>
      <x:c r="I181" s="12"/>
    </x:row>
    <x:row r="182">
      <x:c r="A182" s="37"/>
      <x:c r="B182" s="12"/>
      <x:c r="C182" s="12"/>
      <x:c r="D182" s="12"/>
      <x:c r="E182" s="12"/>
      <x:c r="F182" s="12"/>
      <x:c r="G182" s="12"/>
      <x:c r="H182" s="12"/>
      <x:c r="I182" s="12"/>
    </x:row>
    <x:row r="183">
      <x:c r="A183" s="37"/>
      <x:c r="B183" s="12"/>
      <x:c r="C183" s="12"/>
      <x:c r="D183" s="12"/>
      <x:c r="E183" s="12"/>
      <x:c r="F183" s="12"/>
      <x:c r="G183" s="12"/>
      <x:c r="H183" s="12"/>
      <x:c r="I183" s="12"/>
    </x:row>
    <x:row r="184">
      <x:c r="A184" s="37"/>
      <x:c r="B184" s="12"/>
      <x:c r="C184" s="12"/>
      <x:c r="D184" s="12"/>
      <x:c r="E184" s="12"/>
      <x:c r="F184" s="12"/>
      <x:c r="G184" s="12"/>
      <x:c r="H184" s="12"/>
      <x:c r="I184" s="12"/>
    </x:row>
    <x:row r="185">
      <x:c r="A185" s="37"/>
      <x:c r="B185" s="12"/>
      <x:c r="C185" s="12"/>
      <x:c r="D185" s="12"/>
      <x:c r="E185" s="12"/>
      <x:c r="F185" s="12"/>
      <x:c r="G185" s="12"/>
      <x:c r="H185" s="12"/>
      <x:c r="I185" s="12"/>
    </x:row>
    <x:row r="186">
      <x:c r="A186" s="37"/>
      <x:c r="B186" s="12"/>
      <x:c r="C186" s="12"/>
      <x:c r="D186" s="12"/>
      <x:c r="E186" s="12"/>
      <x:c r="F186" s="12"/>
      <x:c r="G186" s="12"/>
      <x:c r="H186" s="12"/>
      <x:c r="I186" s="12"/>
    </x:row>
    <x:row r="187">
      <x:c r="A187" s="37"/>
      <x:c r="B187" s="12"/>
      <x:c r="C187" s="12"/>
      <x:c r="D187" s="12"/>
      <x:c r="E187" s="12"/>
      <x:c r="F187" s="12"/>
      <x:c r="G187" s="12"/>
      <x:c r="H187" s="12"/>
      <x:c r="I187" s="12"/>
    </x:row>
    <x:row r="188">
      <x:c r="A188" s="37"/>
      <x:c r="B188" s="12"/>
      <x:c r="C188" s="12"/>
      <x:c r="D188" s="12"/>
      <x:c r="E188" s="12"/>
      <x:c r="F188" s="12"/>
      <x:c r="G188" s="12"/>
      <x:c r="H188" s="12"/>
      <x:c r="I188" s="12"/>
    </x:row>
    <x:row r="189">
      <x:c r="A189" s="37"/>
      <x:c r="B189" s="12"/>
      <x:c r="C189" s="12"/>
      <x:c r="D189" s="12"/>
      <x:c r="E189" s="12"/>
      <x:c r="F189" s="12"/>
      <x:c r="G189" s="12"/>
      <x:c r="H189" s="12"/>
      <x:c r="I189" s="12"/>
    </x:row>
    <x:row r="190">
      <x:c r="A190" s="37"/>
      <x:c r="B190" s="12"/>
      <x:c r="C190" s="12"/>
      <x:c r="D190" s="12"/>
      <x:c r="E190" s="12"/>
      <x:c r="F190" s="12"/>
      <x:c r="G190" s="12"/>
      <x:c r="H190" s="12"/>
      <x:c r="I190" s="12"/>
    </x:row>
    <x:row r="191">
      <x:c r="A191" s="37"/>
      <x:c r="B191" s="12"/>
      <x:c r="C191" s="12"/>
      <x:c r="D191" s="12"/>
      <x:c r="E191" s="12"/>
      <x:c r="F191" s="12"/>
      <x:c r="G191" s="12"/>
      <x:c r="H191" s="12"/>
      <x:c r="I191" s="12"/>
    </x:row>
    <x:row r="192">
      <x:c r="A192" s="37"/>
      <x:c r="B192" s="12"/>
      <x:c r="C192" s="12"/>
      <x:c r="D192" s="12"/>
      <x:c r="E192" s="12"/>
      <x:c r="F192" s="12"/>
      <x:c r="G192" s="12"/>
      <x:c r="H192" s="12"/>
      <x:c r="I192" s="12"/>
    </x:row>
    <x:row r="193">
      <x:c r="A193" s="37"/>
      <x:c r="B193" s="12"/>
      <x:c r="C193" s="12"/>
      <x:c r="D193" s="12"/>
      <x:c r="E193" s="12"/>
      <x:c r="F193" s="12"/>
      <x:c r="G193" s="12"/>
      <x:c r="H193" s="12"/>
      <x:c r="I193" s="12"/>
    </x:row>
    <x:row r="194">
      <x:c r="A194" s="37"/>
      <x:c r="B194" s="12"/>
      <x:c r="C194" s="12"/>
      <x:c r="D194" s="12"/>
      <x:c r="E194" s="12"/>
      <x:c r="F194" s="12"/>
      <x:c r="G194" s="12"/>
      <x:c r="H194" s="12"/>
      <x:c r="I194" s="12"/>
    </x:row>
    <x:row r="195">
      <x:c r="A195" s="37"/>
      <x:c r="B195" s="12"/>
      <x:c r="C195" s="12"/>
      <x:c r="D195" s="12"/>
      <x:c r="E195" s="12"/>
      <x:c r="F195" s="12"/>
      <x:c r="G195" s="12"/>
      <x:c r="H195" s="12"/>
      <x:c r="I195" s="12"/>
    </x:row>
    <x:row r="196">
      <x:c r="A196" s="37"/>
      <x:c r="B196" s="12"/>
      <x:c r="C196" s="12"/>
      <x:c r="D196" s="12"/>
      <x:c r="E196" s="12"/>
      <x:c r="F196" s="12"/>
      <x:c r="G196" s="12"/>
      <x:c r="H196" s="12"/>
      <x:c r="I196" s="12"/>
    </x:row>
    <x:row r="197">
      <x:c r="A197" s="37"/>
      <x:c r="B197" s="12"/>
      <x:c r="C197" s="12"/>
      <x:c r="D197" s="12"/>
      <x:c r="E197" s="12"/>
      <x:c r="F197" s="12"/>
      <x:c r="G197" s="12"/>
      <x:c r="H197" s="12"/>
      <x:c r="I197" s="12"/>
    </x:row>
    <x:row r="198">
      <x:c r="A198" s="37"/>
      <x:c r="B198" s="12"/>
      <x:c r="C198" s="12"/>
      <x:c r="D198" s="12"/>
      <x:c r="E198" s="12"/>
      <x:c r="F198" s="12"/>
      <x:c r="G198" s="12"/>
      <x:c r="H198" s="12"/>
      <x:c r="I198" s="12"/>
    </x:row>
    <x:row r="199">
      <x:c r="A199" s="37"/>
      <x:c r="B199" s="12"/>
      <x:c r="C199" s="12"/>
      <x:c r="D199" s="12"/>
      <x:c r="E199" s="12"/>
      <x:c r="F199" s="12"/>
      <x:c r="G199" s="12"/>
      <x:c r="H199" s="12"/>
      <x:c r="I199" s="12"/>
    </x:row>
    <x:row r="200">
      <x:c r="A200" s="37"/>
      <x:c r="B200" s="12"/>
      <x:c r="C200" s="12"/>
      <x:c r="D200" s="12"/>
      <x:c r="E200" s="12"/>
      <x:c r="F200" s="12"/>
      <x:c r="G200" s="12"/>
      <x:c r="H200" s="12"/>
      <x:c r="I200" s="12"/>
    </x:row>
  </x:sheetData>
  <x:dataValidations count="5">
    <x:dataValidation type="list" sqref="C2:C200">
      <x:formula1>"Proceed,Iterate,Park,Kill"</x:formula1>
    </x:dataValidation>
    <x:dataValidation type="list" sqref="F2:F200">
      <x:formula1>"Yes,No,Partially"</x:formula1>
    </x:dataValidation>
    <x:dataValidation type="list" sqref="G2:G200">
      <x:formula1>"Cheick,Codex,GPT,TBD"</x:formula1>
    </x:dataValidation>
    <x:dataValidation type="list" sqref="F13">
      <x:formula1>"Yes,No"</x:formula1>
    </x:dataValidation>
    <x:dataValidation type="list" sqref="G13">
      <x:formula1>"Cheick,Codex,GPT,TBD"</x:formula1>
    </x:dataValidation>
  </x:dataValidations>
  <x:pageMargins left="0.7" right="0.7" top="0.75" bottom="0.75" header="0.3" footer="0.3"/>
  <x:tableParts count="1">
    <x:tablePart xmlns:r="http://schemas.openxmlformats.org/officeDocument/2006/relationships" r:id="Racf55277510948bf"/>
  </x:tableParts>
</x:worksheet>
</file>

<file path=xl/worksheets/sheet4.xml><?xml version="1.0" encoding="utf-8"?>
<x:worksheet xmlns:x="http://schemas.openxmlformats.org/spreadsheetml/2006/main">
  <x:sheetFormatPr defaultRowHeight="15"/>
  <x:cols>
    <x:col min="1" max="1" width="5.75" hidden="0" customWidth="1"/>
    <x:col min="2" max="2" width="11.130000114440918" hidden="0" customWidth="1"/>
    <x:col min="3" max="3" width="38" hidden="0" customWidth="1"/>
    <x:col min="4" max="4" width="8.880000114440918" hidden="0" customWidth="1"/>
    <x:col min="5" max="5" width="8.880000114440918" hidden="0" customWidth="1"/>
    <x:col min="6" max="6" width="44" hidden="0" customWidth="1"/>
    <x:col min="7" max="7" width="36" hidden="0" customWidth="1"/>
    <x:col min="8" max="8" width="7.5" hidden="0" customWidth="1"/>
    <x:col min="9" max="9" width="9.5" hidden="0" customWidth="1"/>
  </x:cols>
  <x:sheetData>
    <x:row r="1" ht="30" customHeight="1">
      <x:c r="A1" s="6" t="str">
        <x:v>Risk ID</x:v>
      </x:c>
      <x:c r="B1" s="6" t="str">
        <x:v>Area</x:v>
      </x:c>
      <x:c r="C1" s="6" t="str">
        <x:v>Risk</x:v>
      </x:c>
      <x:c r="D1" s="6" t="str">
        <x:v>Likelihood</x:v>
      </x:c>
      <x:c r="E1" s="6" t="str">
        <x:v>Impact</x:v>
      </x:c>
      <x:c r="F1" s="6" t="str">
        <x:v>Mitigation</x:v>
      </x:c>
      <x:c r="G1" s="6" t="str">
        <x:v>Trigger</x:v>
      </x:c>
      <x:c r="H1" s="6" t="str">
        <x:v>Owner</x:v>
      </x:c>
      <x:c r="I1" s="6" t="str">
        <x:v>Status</x:v>
      </x:c>
    </x:row>
    <x:row r="2" ht="26.399999618530273" hidden="0" customHeight="1">
      <x:c r="A2" s="14" t="str">
        <x:v>R1</x:v>
      </x:c>
      <x:c r="B2" s="14" t="str">
        <x:v>Data access</x:v>
      </x:c>
      <x:c r="C2" s="14" t="str">
        <x:v>A command accidentally downloads a huge dataset slice.</x:v>
      </x:c>
      <x:c r="D2" s="14" t="str">
        <x:v>Medium</x:v>
      </x:c>
      <x:c r="E2" s="14" t="str">
        <x:v>High</x:v>
      </x:c>
      <x:c r="F2" s="14" t="str">
        <x:v>Dry-run default, max files, max total size, explicit `--execute`.</x:v>
      </x:c>
      <x:c r="G2" s="14" t="str">
        <x:v>Download plan exceeds threshold or lacks size estimate.</x:v>
      </x:c>
      <x:c r="H2" s="14" t="str">
        <x:v>Codex</x:v>
      </x:c>
      <x:c r="I2" s="14" t="str">
        <x:v>Open</x:v>
      </x:c>
    </x:row>
    <x:row r="3" ht="26.399999618530273" hidden="0" customHeight="1">
      <x:c r="A3" s="14" t="str">
        <x:v>R2</x:v>
      </x:c>
      <x:c r="B3" s="14" t="str">
        <x:v>Data quality</x:v>
      </x:c>
      <x:c r="C3" s="14" t="str">
        <x:v>Events or labels are silently misaligned with signal windows.</x:v>
      </x:c>
      <x:c r="D3" s="14" t="str">
        <x:v>Medium</x:v>
      </x:c>
      <x:c r="E3" s="14" t="str">
        <x:v>High</x:v>
      </x:c>
      <x:c r="F3" s="14" t="str">
        <x:v>Print parsed fields, dropped rows, timestamps, and confidence; add synthetic alignment tests.</x:v>
      </x:c>
      <x:c r="G3" s="14" t="str">
        <x:v>Unexpected offsets, many dropped events, or suspiciously high scores.</x:v>
      </x:c>
      <x:c r="H3" s="14" t="str">
        <x:v>Codex</x:v>
      </x:c>
      <x:c r="I3" s="14" t="str">
        <x:v>Open</x:v>
      </x:c>
    </x:row>
    <x:row r="4" ht="26.399999618530273" hidden="0" customHeight="1">
      <x:c r="A4" s="14" t="str">
        <x:v>R3</x:v>
      </x:c>
      <x:c r="B4" s="14" t="str">
        <x:v>Evaluation</x:v>
      </x:c>
      <x:c r="C4" s="14" t="str">
        <x:v>Language-only baseline explains most apparent progress.</x:v>
      </x:c>
      <x:c r="D4" s="14" t="str">
        <x:v>High</x:v>
      </x:c>
      <x:c r="E4" s="14" t="str">
        <x:v>Medium</x:v>
      </x:c>
      <x:c r="F4" s="14" t="str">
        <x:v>Run LM/prior-only baseline beside every neural result.</x:v>
      </x:c>
      <x:c r="G4" s="14" t="str">
        <x:v>Brain model barely beats prior-only baseline.</x:v>
      </x:c>
      <x:c r="H4" s="14" t="str">
        <x:v>GPT</x:v>
      </x:c>
      <x:c r="I4" s="14" t="str">
        <x:v>Watching</x:v>
      </x:c>
    </x:row>
    <x:row r="5" ht="26.399999618530273" hidden="0" customHeight="1">
      <x:c r="A5" s="14" t="str">
        <x:v>R4</x:v>
      </x:c>
      <x:c r="B5" s="14" t="str">
        <x:v>Overfitting</x:v>
      </x:c>
      <x:c r="C5" s="14" t="str">
        <x:v>Tiny loop overfits one block and looks better than it is.</x:v>
      </x:c>
      <x:c r="D5" s="14" t="str">
        <x:v>High</x:v>
      </x:c>
      <x:c r="E5" s="14" t="str">
        <x:v>Medium</x:v>
      </x:c>
      <x:c r="F5" s="14" t="str">
        <x:v>Add split protocol early; name split type in every report.</x:v>
      </x:c>
      <x:c r="G5" s="14" t="str">
        <x:v>Random split score much higher than session/subject split.</x:v>
      </x:c>
      <x:c r="H5" s="14" t="str">
        <x:v>Codex</x:v>
      </x:c>
      <x:c r="I5" s="14" t="str">
        <x:v>Open</x:v>
      </x:c>
    </x:row>
    <x:row r="6" ht="26.399999618530273" hidden="0" customHeight="1">
      <x:c r="A6" s="14" t="str">
        <x:v>R5</x:v>
      </x:c>
      <x:c r="B6" s="14" t="str">
        <x:v>Licensing</x:v>
      </x:c>
      <x:c r="C6" s="14" t="str">
        <x:v>Research dataset license is accidentally treated as commercial-ready.</x:v>
      </x:c>
      <x:c r="D6" s="14" t="str">
        <x:v>Low</x:v>
      </x:c>
      <x:c r="E6" s="14" t="str">
        <x:v>High</x:v>
      </x:c>
      <x:c r="F6" s="14" t="str">
        <x:v>Keep license notes in docs and generated metadata; avoid commercial claims.</x:v>
      </x:c>
      <x:c r="G6" s="14" t="str">
        <x:v>Repo/readme implies product or clinical use.</x:v>
      </x:c>
      <x:c r="H6" s="14" t="str">
        <x:v>Cheick</x:v>
      </x:c>
      <x:c r="I6" s="14" t="str">
        <x:v>Open</x:v>
      </x:c>
    </x:row>
    <x:row r="7" ht="26.399999618530273" hidden="0" customHeight="1">
      <x:c r="A7" s="14" t="str">
        <x:v>R6</x:v>
      </x:c>
      <x:c r="B7" s="14" t="str">
        <x:v>Dependencies</x:v>
      </x:c>
      <x:c r="C7" s="14" t="str">
        <x:v>Package becomes heavy and fragile too early.</x:v>
      </x:c>
      <x:c r="D7" s="14" t="str">
        <x:v>Medium</x:v>
      </x:c>
      <x:c r="E7" s="14" t="str">
        <x:v>Medium</x:v>
      </x:c>
      <x:c r="F7" s="14" t="str">
        <x:v>Optional extras for neuro/deep/demo dependencies; graceful import errors.</x:v>
      </x:c>
      <x:c r="G7" s="14" t="str">
        <x:v>Basic CLI import requires MNE/Torch/Gradio.</x:v>
      </x:c>
      <x:c r="H7" s="14" t="str">
        <x:v>Codex</x:v>
      </x:c>
      <x:c r="I7" s="14" t="str">
        <x:v>Open</x:v>
      </x:c>
    </x:row>
    <x:row r="8" ht="26.399999618530273" hidden="0" customHeight="1">
      <x:c r="A8" s="14" t="str">
        <x:v>R7</x:v>
      </x:c>
      <x:c r="B8" s="14" t="str">
        <x:v>Narrative</x:v>
      </x:c>
      <x:c r="C8" s="14" t="str">
        <x:v>Demo implies arbitrary thought reading rather than task-specific decoding.</x:v>
      </x:c>
      <x:c r="D8" s="14" t="str">
        <x:v>Medium</x:v>
      </x:c>
      <x:c r="E8" s="14" t="str">
        <x:v>High</x:v>
      </x:c>
      <x:c r="F8" s="14" t="str">
        <x:v>Add limitations copy and avoid clinical/mind-reading claims.</x:v>
      </x:c>
      <x:c r="G8" s="14" t="str">
        <x:v>External writeup overstates capability.</x:v>
      </x:c>
      <x:c r="H8" s="14" t="str">
        <x:v>Cheick</x:v>
      </x:c>
      <x:c r="I8" s="14" t="str">
        <x:v>Watching</x:v>
      </x:c>
    </x:row>
    <x:row r="9" ht="39.599998474121094" hidden="0" customHeight="1">
      <x:c r="A9" s="14" t="str">
        <x:v>R8</x:v>
      </x:c>
      <x:c r="B9" s="14" t="str">
        <x:v>Roadmap</x:v>
      </x:c>
      <x:c r="C9" s="14" t="str">
        <x:v>Public Brain2Qwerty v2 code is mistaken for a locally reproduced v2 result while EnglishBCBL data and required GPU scale remain unavailable.</x:v>
      </x:c>
      <x:c r="D9" s="14" t="str">
        <x:v>Medium</x:v>
      </x:c>
      <x:c r="E9" s="14" t="str">
        <x:v>High</x:v>
      </x:c>
      <x:c r="F9" s="14" t="str">
        <x:v>Treat SpanishBCBL CTC as a small surrogate; cite the official code commit and data embargo; report compute, data, and latency gaps.</x:v>
      </x:c>
      <x:c r="G9" s="14" t="str">
        <x:v>A local smoke metric is compared to the v2 paper, or implementation silently assumes EnglishBCBL or multi-GPU hardware.</x:v>
      </x:c>
      <x:c r="H9" s="14" t="str">
        <x:v>Codex</x:v>
      </x:c>
      <x:c r="I9" s="14" t="str">
        <x:v>Watching</x:v>
      </x:c>
    </x:row>
    <x:row r="10" ht="39.599998474121094" hidden="0" customHeight="1">
      <x:c r="A10" s="12" t="str">
        <x:v>R9</x:v>
      </x:c>
      <x:c r="B10" s="12" t="str">
        <x:v>Hardware accessibility</x:v>
      </x:c>
      <x:c r="C10" s="12" t="str">
        <x:v>Local CPU success is mistaken for at-home sensor readiness; EEG accuracy loss and OPM shielding requirements are ignored.</x:v>
      </x:c>
      <x:c r="D10" s="12" t="str">
        <x:v>High</x:v>
      </x:c>
      <x:c r="E10" s="12" t="str">
        <x:v>High</x:v>
      </x:c>
      <x:c r="F10" s="12" t="str">
        <x:v>Track compute, sensor modality, shielding, motion, and causal latency as separate gates; cite primary hardware evidence.</x:v>
      </x:c>
      <x:c r="G10" s="12" t="str">
        <x:v>A demo or roadmap calls the current MEG, EEG, or OPM path consumer-ready.</x:v>
      </x:c>
      <x:c r="H10" s="12" t="str">
        <x:v>Cheick</x:v>
      </x:c>
      <x:c r="I10" s="12" t="str">
        <x:v>Watching</x:v>
      </x:c>
    </x:row>
    <x:row r="11" ht="39.599998474121094" hidden="0" customHeight="1">
      <x:c r="A11" s="12" t="str">
        <x:v>R10</x:v>
      </x:c>
      <x:c r="B11" s="12" t="str">
        <x:v>Compression evidence</x:v>
      </x:c>
      <x:c r="C11" s="12" t="str">
        <x:v>Lower sampling or channel counts are presented as retained neural accuracy based on stable scaled RMS or a fit inside one block.</x:v>
      </x:c>
      <x:c r="D11" s="12" t="str">
        <x:v>High</x:v>
      </x:c>
      <x:c r="E11" s="12" t="str">
        <x:v>High</x:v>
      </x:c>
      <x:c r="F11" s="12" t="str">
        <x:v>Require a second block/session split for accuracy; report Nyquist and spatial-information losses; keep resource sweeps score-free.</x:v>
      </x:c>
      <x:c r="G11" s="12" t="str">
        <x:v>A report uses accuracy-retained language without independent evaluation, or selects a rate/channel count from one block.</x:v>
      </x:c>
      <x:c r="H11" s="12" t="str">
        <x:v>Codex</x:v>
      </x:c>
      <x:c r="I11" s="12" t="str">
        <x:v>Watching</x:v>
      </x:c>
    </x:row>
    <x:row r="12" ht="108" hidden="0" customHeight="1">
      <x:c r="A12" s="14" t="str">
        <x:v>R11</x:v>
      </x:c>
      <x:c r="B12" s="14" t="str">
        <x:v>Sensor selection</x:v>
      </x:c>
      <x:c r="C12" s="14" t="str">
        <x:v>A geometry or variance proxy selected on one S21 block is mistaken for a generally optimal layout or an OPM-ready hardware design.</x:v>
      </x:c>
      <x:c r="D12" s="14" t="str">
        <x:v>High</x:v>
      </x:c>
      <x:c r="E12" s="14" t="str">
        <x:v>High</x:v>
      </x:c>
      <x:c r="F12" s="14" t="str">
        <x:v>Pre-register FPS and variance candidates; fit variance only on training data; evaluate held-out block/session/subject accuracy; keep modality, shielding, and geometry caveats explicit.</x:v>
      </x:c>
      <x:c r="G12" s="14" t="str">
        <x:v>A subset is called optimal, accuracy-preserving, anatomical, or OPM-ready without held-out decoding and hardware validation.</x:v>
      </x:c>
      <x:c r="H12" s="14" t="str">
        <x:v>Codex</x:v>
      </x:c>
      <x:c r="I12" s="14" t="str">
        <x:v>Watching</x:v>
      </x:c>
    </x:row>
    <x:row r="13" ht="84" customHeight="1">
      <x:c r="A13" s="14" t="str">
        <x:v>R12</x:v>
      </x:c>
      <x:c r="B13" s="14" t="str">
        <x:v>Precision / storage</x:v>
      </x:c>
      <x:c r="C13" s="14" t="str">
        <x:v>Low reconstruction error is mistaken for retained decoder accuracy or integer-only local inference.</x:v>
      </x:c>
      <x:c r="D13" s="14" t="str">
        <x:v>High</x:v>
      </x:c>
      <x:c r="E13" s="14" t="str">
        <x:v>High</x:v>
      </x:c>
      <x:c r="F13" s="14" t="str">
        <x:v>Keep float32 as default; evaluate packed candidates on one fixed held-out split; report clipping separately; state that current payloads decode to float32.</x:v>
      </x:c>
      <x:c r="G13" s="14" t="str">
        <x:v>A report calls a packed cache accuracy-preserving, lower-RAM inference, real-time, or device-ready without a held-out decoder and model-runtime measurement.</x:v>
      </x:c>
      <x:c r="H13" s="14" t="str">
        <x:v>Codex</x:v>
      </x:c>
      <x:c r="I13" s="14" t="str">
        <x:v>Watching</x:v>
      </x:c>
    </x:row>
    <x:row r="14" ht="78" customHeight="1">
      <x:c r="A14" s="12" t="str">
        <x:v>R13</x:v>
      </x:c>
      <x:c r="B14" s="12" t="str">
        <x:v>Backend scaling</x:v>
      </x:c>
      <x:c r="C14" s="12" t="str">
        <x:v>The parked Zarr decision is misread as a universal format verdict and future NPZ limits go unmonitored.</x:v>
      </x:c>
      <x:c r="D14" s="12" t="str">
        <x:v>Medium</x:v>
      </x:c>
      <x:c r="E14" s="12" t="str">
        <x:v>Medium</x:v>
      </x:c>
      <x:c r="F14" s="12" t="str">
        <x:v>Preserve the Loop 13 thresholds; rerun on larger caches or repeated subarray workflows; require semantic parity before any backend adoption.</x:v>
      </x:c>
      <x:c r="G14" s="12" t="str">
        <x:v>A cache crosses a size/time/RSS threshold, or training repeatedly reads subarrays while the old park decision is cited as final.</x:v>
      </x:c>
      <x:c r="H14" s="12" t="str">
        <x:v>Codex</x:v>
      </x:c>
      <x:c r="I14" s="12" t="str">
        <x:v>Watching</x:v>
      </x:c>
    </x:row>
    <x:row r="15" ht="96" customHeight="1">
      <x:c r="A15" s="12" t="str">
        <x:v>R14</x:v>
      </x:c>
      <x:c r="B15" s="12" t="str">
        <x:v>Evaluation leakage</x:v>
      </x:c>
      <x:c r="C15" s="12" t="str">
        <x:v>A valid sentence-membership table is mistaken for a strict evaluation even though scaling or sensor selection used validation/test rows.</x:v>
      </x:c>
      <x:c r="D15" s="12" t="str">
        <x:v>Medium</x:v>
      </x:c>
      <x:c r="E15" s="12" t="str">
        <x:v>High</x:v>
      </x:c>
      <x:c r="F15" s="12" t="str">
        <x:v>Require fit_split=train plus matching protocol and semantic-membership hashes; freeze transforms for validation/test; block unsupported session/subject claims.</x:v>
      </x:c>
      <x:c r="G15" s="12" t="str">
        <x:v>A report cites strict membership while cache metadata lacks matching train-fit provenance, or aliases are counted as independent people.</x:v>
      </x:c>
      <x:c r="H15" s="12" t="str">
        <x:v>Codex</x:v>
      </x:c>
      <x:c r="I15" s="12" t="str">
        <x:v>Mitigated</x:v>
      </x:c>
    </x:row>
    <x:row r="16" ht="112" customHeight="1">
      <x:c r="A16" s="12" t="str">
        <x:v>R15</x:v>
      </x:c>
      <x:c r="B16" s="12" t="str">
        <x:v>Holdout reuse</x:v>
      </x:c>
      <x:c r="C16" s="12" t="str">
        <x:v>Architecture, adapters, sensors, or precision are tuned against the five source test rows or observed 63-row session-2 evaluation until a known difference looks meaningful.</x:v>
      </x:c>
      <x:c r="D16" s="12" t="str">
        <x:v>High</x:v>
      </x:c>
      <x:c r="E16" s="12" t="str">
        <x:v>High</x:v>
      </x:c>
      <x:c r="F16" s="12" t="str">
        <x:v>Freeze both observed holdouts; fit on source train only; select on source validation only; develop adapters on synthetic shift; pre-register the next real comparison and disclose all attempts.</x:v>
      </x:c>
      <x:c r="G16" s="12" t="str">
        <x:v>A new choice is justified by source-test or session-2 results, repeated holdout runs accumulate, or observed session 2 is described as untouched after tuning.</x:v>
      </x:c>
      <x:c r="H16" s="12" t="str">
        <x:v>Codex</x:v>
      </x:c>
      <x:c r="I16" s="12" t="str">
        <x:v>Active</x:v>
      </x:c>
    </x:row>
    <x:row r="17" ht="78" customHeight="1">
      <x:c r="A17" s="14" t="str">
        <x:v>R16</x:v>
      </x:c>
      <x:c r="B17" s="14" t="str">
        <x:v>Synthetic validity</x:v>
      </x:c>
      <x:c r="C17" s="14" t="str">
        <x:v>A diagonal synthetic shift may make robust affine adaptation look unrealistically complete.</x:v>
      </x:c>
      <x:c r="D17" s="14" t="str">
        <x:v>High</x:v>
      </x:c>
      <x:c r="E17" s="14" t="str">
        <x:v>High</x:v>
      </x:c>
      <x:c r="F17" s="14" t="str">
        <x:v>Run multiple seeds, at least five calibration sizes, unpaired calibration, and non-diagonal or time-varying shifts before any real-data adapter claim.</x:v>
      </x:c>
      <x:c r="G17" s="14" t="str">
        <x:v>Near-perfect synthetic reconstruction without an untouched real-session benefit result.</x:v>
      </x:c>
      <x:c r="H17" s="14" t="str">
        <x:v>Codex</x:v>
      </x:c>
      <x:c r="I17" s="14" t="str">
        <x:v>Active</x:v>
      </x:c>
    </x:row>
    <x:row r="18" ht="88" customHeight="1">
      <x:c r="A18" s="14" t="str">
        <x:v>R17</x:v>
      </x:c>
      <x:c r="B18" s="14" t="str">
        <x:v>Adapter scope</x:v>
      </x:c>
      <x:c r="C18" s="14" t="str">
        <x:v>Automatic static robust-affine adaptation is applied when target drift includes channel mixing or changes within a sentence, worsening decoding relative to identity.</x:v>
      </x:c>
      <x:c r="D18" s="14" t="str">
        <x:v>High</x:v>
      </x:c>
      <x:c r="E18" s="14" t="str">
        <x:v>High</x:v>
      </x:c>
      <x:c r="F18" s="14" t="str">
        <x:v>Keep identity as the default fallback; identify the shift family on synthetic validation; gate covariance-aware and causal rolling methods separately before any real evaluation.</x:v>
      </x:c>
      <x:c r="G18" s="14" t="str">
        <x:v>Adapted validation CER exceeds identity, covariance changes remain after scaling, or rolling-window statistics move materially within one sequence.</x:v>
      </x:c>
      <x:c r="H18" s="14" t="str">
        <x:v>Codex</x:v>
      </x:c>
      <x:c r="I18" s="14" t="str">
        <x:v>Active</x:v>
      </x:c>
    </x:row>
    <x:row r="19" ht="91.5" customHeight="1">
      <x:c r="A19" s="12" t="str">
        <x:v>R18</x:v>
      </x:c>
      <x:c r="B19" s="12" t="str">
        <x:v>Demo interpretation</x:v>
      </x:c>
      <x:c r="C19" s="12" t="str">
        <x:v>Perfect synthetic examples or aggregate real metrics are mistaken for a live real-MEG decoder, calibrated confidence, arbitrary-thought reading, or at-home hardware evidence.</x:v>
      </x:c>
      <x:c r="D19" s="12" t="str">
        <x:v>High</x:v>
      </x:c>
      <x:c r="E19" s="12" t="str">
        <x:v>High</x:v>
      </x:c>
      <x:c r="F19" s="12" t="str">
        <x:v>Keep the proof strip visible; label examples synthetic and real rows aggregate-only; show confidence as unavailable; expose noncausal/task/hardware boundaries; publish provenance and audit checks.</x:v>
      </x:c>
      <x:c r="G19" s="12" t="str">
        <x:v>A screenshot, writeup, or downstream report omits synthetic, aggregate-only, noncausal, confidence-unavailable, or typing-task-specific labels.</x:v>
      </x:c>
      <x:c r="H19" s="12" t="str">
        <x:v>Codex</x:v>
      </x:c>
      <x:c r="I19" s="12" t="str">
        <x:v>Active</x:v>
      </x:c>
    </x:row>
    <x:row r="20" ht="91.5" customHeight="1">
      <x:c r="A20" s="12" t="str">
        <x:v>R19</x:v>
      </x:c>
      <x:c r="B20" s="12" t="str">
        <x:v>Leaderboard comparability</x:v>
      </x:c>
      <x:c r="C20" s="12" t="str">
        <x:v>A rank across different tasks, units, splits, subjects, proof postures, or metrics is presented as a global model winner.</x:v>
      </x:c>
      <x:c r="D20" s="12" t="str">
        <x:v>High</x:v>
      </x:c>
      <x:c r="E20" s="12" t="str">
        <x:v>High</x:v>
      </x:c>
      <x:c r="F20" s="12" t="str">
        <x:v>Authorize ranks only inside exact cohorts; expose CER, WER, and SemER separately; keep synthetic, real, event, sentence, fit-on-eval, and consumed-holdout evidence distinct; set global winner to null.</x:v>
      </x:c>
      <x:c r="G20" s="12" t="str">
        <x:v>A downstream table drops cohort/proof labels, merges event and sentence rows, hides fit-on-eval status, or selects one metric without disclosing disagreement.</x:v>
      </x:c>
      <x:c r="H20" s="12" t="str">
        <x:v>Codex</x:v>
      </x:c>
      <x:c r="I20" s="12" t="str">
        <x:v>Active</x:v>
      </x:c>
    </x:row>
    <x:row r="21" ht="99" customHeight="1">
      <x:c r="A21" s="12" t="str">
        <x:v>R20</x:v>
      </x:c>
      <x:c r="B21" s="12" t="str">
        <x:v>EEG interpretation</x:v>
      </x:c>
      <x:c r="C21" s="12" t="str">
        <x:v>A trigger-aligned cache or one minimally processed within-session S7 event result is presented as useful brain-to-text, EEG-MEG equivalence, portable sensing, or consumer hardware evidence.</x:v>
      </x:c>
      <x:c r="D21" s="12" t="str">
        <x:v>High</x:v>
      </x:c>
      <x:c r="E21" s="12" t="str">
        <x:v>High</x:v>
      </x:c>
      <x:c r="F21" s="12" t="str">
        <x:v>Keep EEG and MEG in separate cohorts; report exact key-label accuracy beside the train-only prior; label CER non-primary for key tokens; require explicit preprocessing plus independent session/subject protocols before any EEG performance or portability claim.</x:v>
      </x:c>
      <x:c r="G21" s="12" t="str">
        <x:v>A report cites alignment/cache completion as decoding performance, hides the 0.009091 versus 0.122727 negative result, compares EEG and MEG globally, or mentions at-home/consumer readiness.</x:v>
      </x:c>
      <x:c r="H21" s="12" t="str">
        <x:v>Codex</x:v>
      </x:c>
      <x:c r="I21" s="12" t="str">
        <x:v>Active</x:v>
      </x:c>
    </x:row>
    <x:row r="22" ht="106.5" customHeight="1">
      <x:c r="A22" s="12" t="str">
        <x:v>R21</x:v>
      </x:c>
      <x:c r="B22" s="12" t="str">
        <x:v>Neurotoken and streaming interpretation</x:v>
      </x:c>
      <x:c r="C22" s="12" t="str">
        <x:v>Synthetic random-projection vectors or producer frame timing are presented as learned brain words, useful neural semantics, a causal decoder, or measured real-time brain-to-text.</x:v>
      </x:c>
      <x:c r="D22" s="12" t="str">
        <x:v>High</x:v>
      </x:c>
      <x:c r="E22" s="12" t="str">
        <x:v>High</x:v>
      </x:c>
      <x:c r="F22" s="12" t="str">
        <x:v>Label vectors continuous, synthetic, target-free, and unlearned; keep producer causality, decoder causality, right context, and end-to-end latency separate; require synthetic chunk/replay proof before a causal decoder and a preregistered real cohort before performance claims.</x:v>
      </x:c>
      <x:c r="G22" s="12" t="str">
        <x:v>A report calls Loop 20 vectors discrete or learned neurotokens, cites the 160-ms frame width as end-to-end latency, or omits that decoder causality and decoding value are untested.</x:v>
      </x:c>
      <x:c r="H22" s="12" t="str">
        <x:v>Codex</x:v>
      </x:c>
      <x:c r="I22" s="12" t="str">
        <x:v>Active</x:v>
      </x:c>
    </x:row>
    <x:row r="23" ht="106.5" customHeight="1">
      <x:c r="A23" s="12" t="str">
        <x:v>R22</x:v>
      </x:c>
      <x:c r="B23" s="12" t="str">
        <x:v>Causal and latency claim collapse</x:v>
      </x:c>
      <x:c r="C23" s="12" t="str">
        <x:v>A zero-lookahead frame producer or low compute RTF is presented as stable incremental text, real-time end-to-end decoding, or responsive local hardware.</x:v>
      </x:c>
      <x:c r="D23" s="12" t="str">
        <x:v>High</x:v>
      </x:c>
      <x:c r="E23" s="12" t="str">
        <x:v>High</x:v>
      </x:c>
      <x:c r="F23" s="12" t="str">
        <x:v>Report frame availability, right context, scheduler delay, compute time/RTF, decoder emission/revisions, capture/preprocessing, and UI latency separately; do not use a producer benchmark as a text or device claim.</x:v>
      </x:c>
      <x:c r="G23" s="12" t="str">
        <x:v>A report cites the 160-ms first frame or sub-0.001 compute RTF as text latency while decoder causality, symbol stability, endpointing, or capture-to-render timing remains unavailable.</x:v>
      </x:c>
      <x:c r="H23" s="12" t="str">
        <x:v>Codex</x:v>
      </x:c>
      <x:c r="I23" s="12" t="str">
        <x:v>Active</x:v>
      </x:c>
    </x:row>
    <x:row r="24" ht="131.25" customHeight="1">
      <x:c r="A24" s="12" t="str">
        <x:v>R23</x:v>
      </x:c>
      <x:c r="B24" s="12" t="str">
        <x:v>Consumed test reuse</x:v>
      </x:c>
      <x:c r="C24" s="12" t="str">
        <x:v>A consumed synthetic or real evaluation is reused to select precision candidates, tune decoding, or make a fresh-evidence claim.</x:v>
      </x:c>
      <x:c r="D24" s="12" t="str">
        <x:v>High</x:v>
      </x:c>
      <x:c r="E24" s="12" t="str">
        <x:v>High</x:v>
      </x:c>
      <x:c r="F24" s="12" t="str">
        <x:v>Freeze seeds 2203, 2303, and 2353 plus S21 session 2 and S7 EEG; require fresh split and one-time access protocols.</x:v>
      </x:c>
      <x:c r="G24" s="12" t="str">
        <x:v>A new report reads a consumed partition or cites its output as candidate-selection evidence.</x:v>
      </x:c>
      <x:c r="H24" s="12" t="str">
        <x:v>Codex</x:v>
      </x:c>
      <x:c r="I24" s="12" t="str">
        <x:v>Active</x:v>
      </x:c>
    </x:row>
    <x:row r="25" ht="131.25" customHeight="1">
      <x:c r="A25" s="12" t="str">
        <x:v>R24</x:v>
      </x:c>
      <x:c r="B25" s="12" t="str">
        <x:v>Sensitive multimodal misattribution</x:v>
      </x:c>
      <x:c r="C25" s="12" t="str">
        <x:v>Eye, hand, microphone, heart, motion, EOG, or wrist-EMG input is exposed, uploaded, or credited to EEG without consent and ablation evidence.</x:v>
      </x:c>
      <x:c r="D25" s="12" t="str">
        <x:v>High</x:v>
      </x:c>
      <x:c r="E25" s="12" t="str">
        <x:v>High</x:v>
      </x:c>
      <x:c r="F25" s="12" t="str">
        <x:v>Local-only intake, explicit modality labels, no silent cloud path, and mandatory brain-only, peripheral-only, and combined ablations.</x:v>
      </x:c>
      <x:c r="G25" s="12" t="str">
        <x:v>A device or report calls behavioral/peripheral data brain activity or lacks a device-only comparator.</x:v>
      </x:c>
      <x:c r="H25" s="12" t="str">
        <x:v>Codex</x:v>
      </x:c>
      <x:c r="I25" s="12" t="str">
        <x:v>Active</x:v>
      </x:c>
    </x:row>
    <x:row r="26" ht="88.5" customHeight="1">
      <x:c r="A26" s="12" t="str">
        <x:v>R25</x:v>
      </x:c>
      <x:c r="B26" s="12" t="str">
        <x:v>Reader bounds</x:v>
      </x:c>
      <x:c r="C26" s="12" t="str">
        <x:v>A lazy reader silently preloads a source or mixed-rate EDF/BDF resampling changes bounded values.</x:v>
      </x:c>
      <x:c r="D26" s="12" t="str">
        <x:v>High</x:v>
      </x:c>
      <x:c r="E26" s="12" t="str">
        <x:v>High</x:v>
      </x:c>
      <x:c r="F26" s="12" t="str">
        <x:v>Use explicit format readers and arguments; refuse embedded EEGLAB and unproven mixed-rate level 2; assert preload and exact fixture values.</x:v>
      </x:c>
      <x:c r="G26" s="12" t="str">
        <x:v>Unexpected preload, memory growth, implicit rate conversion, or value mismatch.</x:v>
      </x:c>
      <x:c r="H26" s="12" t="str">
        <x:v>Codex</x:v>
      </x:c>
      <x:c r="I26" s="12" t="str">
        <x:v>Active</x:v>
      </x:c>
    </x:row>
    <x:row r="27" ht="88.5" customHeight="1">
      <x:c r="A27" s="12" t="str">
        <x:v>R26</x:v>
      </x:c>
      <x:c r="B27" s="12" t="str">
        <x:v>Quality semantics</x:v>
      </x:c>
      <x:c r="C27" s="12" t="str">
        <x:v>A descriptive warning becomes automatic cleaning or is presented as proof that a real artifact was detected.</x:v>
      </x:c>
      <x:c r="D27" s="12" t="str">
        <x:v>High</x:v>
      </x:c>
      <x:c r="E27" s="12" t="str">
        <x:v>High</x:v>
      </x:c>
      <x:c r="F27" s="12" t="str">
        <x:v>Keep profile-dependent thresholds unavailable; prove source no-mutation; never delete, interpolate, filter, rereference, or mark bads.</x:v>
      </x:c>
      <x:c r="G27" s="12" t="str">
        <x:v>A warning changes source state or is described as a validated real-data diagnosis.</x:v>
      </x:c>
      <x:c r="H27" s="12" t="str">
        <x:v>Codex</x:v>
      </x:c>
      <x:c r="I27" s="12" t="str">
        <x:v>Active</x:v>
      </x:c>
    </x:row>
    <x:row r="28" ht="88.5" customHeight="1">
      <x:c r="A28" s="12" t="str">
        <x:v>R27</x:v>
      </x:c>
      <x:c r="B28" s="12" t="str">
        <x:v>Signal privacy</x:v>
      </x:c>
      <x:c r="C28" s="12" t="str">
        <x:v>Reports leak absolute paths, participant data, dates, serials, event text/timestamps, exact geometry, or waveform values.</x:v>
      </x:c>
      <x:c r="D28" s="12" t="str">
        <x:v>High</x:v>
      </x:c>
      <x:c r="E28" s="12" t="str">
        <x:v>High</x:v>
      </x:c>
      <x:c r="F28" s="12" t="str">
        <x:v>Allowlist aggregate fields; redact before serialization; run forbidden-token and waveform/value leakage tests; kill the gate on exposure.</x:v>
      </x:c>
      <x:c r="G28" s="12" t="str">
        <x:v>Any forbidden identifier, coordinate, annotation, timestamp, or signal value appears in an artifact.</x:v>
      </x:c>
      <x:c r="H28" s="12" t="str">
        <x:v>Codex</x:v>
      </x:c>
      <x:c r="I28" s="12" t="str">
        <x:v>Active</x:v>
      </x:c>
    </x:row>
    <x:row r="29" ht="52.79999923706055" hidden="0" customHeight="1">
      <x:c r="A29" s="14" t="str">
        <x:v>R28</x:v>
      </x:c>
      <x:c r="B29" s="14" t="str">
        <x:v>Precision / runtime overclaim</x:v>
      </x:c>
      <x:c r="C29" s="14" t="str">
        <x:v>A smaller serialized candidate is promoted despite slower full-pipeline runtime, changed behavior, an incomplete timing protocol, or a consumed selection split.</x:v>
      </x:c>
      <x:c r="D29" s="14" t="str">
        <x:v>High</x:v>
      </x:c>
      <x:c r="E29" s="14" t="str">
        <x:v>High</x:v>
      </x:c>
      <x:c r="F29" s="14" t="str">
        <x:v>Keep the exact behavior, numerical, runtime, state, payload, RSS, and total-runtime gates conjunctive; retain float32 on any failure; require a fresh preregistration before new execution.</x:v>
      </x:c>
      <x:c r="G29" s="14" t="str">
        <x:v>A report calls float16 or qint8 a replacement, cites payload size as speed, reruns seed 2401, opens seed 2402 without a new authorization, or hides the 65.154951-second cap failure.</x:v>
      </x:c>
      <x:c r="H29" s="14" t="str">
        <x:v>Codex</x:v>
      </x:c>
      <x:c r="I29" s="14" t="str">
        <x:v>Watching</x:v>
      </x:c>
    </x:row>
    <x:row r="30" ht="117" customHeight="1">
      <x:c r="A30" s="12" t="str">
        <x:v>R29</x:v>
      </x:c>
      <x:c r="B30" s="12" t="str">
        <x:v>Causal preprocessing</x:v>
      </x:c>
      <x:c r="C30" s="12" t="str">
        <x:v>Offline zero-phase filtering, future-dependent normalization, endpoint padding, or chunk resets are mislabeled as causal streaming behavior.</x:v>
      </x:c>
      <x:c r="D30" s="12" t="str">
        <x:v>High</x:v>
      </x:c>
      <x:c r="E30" s="12" t="str">
        <x:v>High</x:v>
      </x:c>
      <x:c r="F30" s="12" t="str">
        <x:v>Require one-pass stateful SOS filtering, phase-locked absolute-index decimation, frozen statistics, and exact schedule/resume/future-mutation checks before any causal claim.</x:v>
      </x:c>
      <x:c r="G30" s="12" t="str">
        <x:v>An earlier output or state changes when only future samples or chunk boundaries change, or a report hides filter delay as text latency.</x:v>
      </x:c>
      <x:c r="H30" s="12" t="str">
        <x:v>Codex</x:v>
      </x:c>
      <x:c r="I30" s="12" t="str">
        <x:v>Active</x:v>
      </x:c>
    </x:row>
    <x:row r="31" ht="126" customHeight="1">
      <x:c r="A31" s="12" t="str">
        <x:v>R30</x:v>
      </x:c>
      <x:c r="B31" s="12" t="str">
        <x:v>Anti-alias completeness</x:v>
      </x:c>
      <x:c r="C31" s="12" t="str">
        <x:v>A task low-pass edge or one above-Nyquist probe is mistaken for complete anti-alias protection before 10x decimation, allowing 50-500 Hz source energy to fold into the retained band.</x:v>
      </x:c>
      <x:c r="D31" s="12" t="str">
        <x:v>High</x:v>
      </x:c>
      <x:c r="E31" s="12" t="str">
        <x:v>High</x:v>
      </x:c>
      <x:c r="F31" s="12" t="str">
        <x:v>Require a separate causal anti-alias SOS, a 65,537-point 0-500 Hz response grid, 23 alias probes, and complete-chain 50-500 Hz attenuation before any fixture array opens.</x:v>
      </x:c>
      <x:c r="G31" s="12" t="str">
        <x:v>The dedicated or complete chain exceeds -59.5 dB anywhere in 50-500 Hz, an alias destination is wrong, or a superseded packet is selected.</x:v>
      </x:c>
      <x:c r="H31" s="12" t="str">
        <x:v>Codex</x:v>
      </x:c>
      <x:c r="I31" s="12" t="str">
        <x:v>Active</x:v>
      </x:c>
    </x:row>
    <x:row r="32" ht="138" customHeight="1">
      <x:c r="A32" s="12" t="str">
        <x:v>R31</x:v>
      </x:c>
      <x:c r="B32" s="12" t="str">
        <x:v>Six-row validation overclaim</x:v>
      </x:c>
      <x:c r="C32" s="12" t="str">
        <x:v>A favorable result on six sentences from one person/session is reported as source-test, participant, population, transfer, real-time, or device evidence, or smooth bootstrap output hides the 64-assignment exact resolution.</x:v>
      </x:c>
      <x:c r="D32" s="12" t="str">
        <x:v>High</x:v>
      </x:c>
      <x:c r="E32" s="12" t="str">
        <x:v>High</x:v>
      </x:c>
      <x:c r="F32" s="12" t="str">
        <x:v>Report all six paired differences and the complete exact null; require all frozen controls; label the unit as sentence instances within one person/session; keep source test and session 2 closed.</x:v>
      </x:c>
      <x:c r="G32" s="12" t="str">
        <x:v>Any claim exceeds the six named validation rows, any validation item is omitted, a zero/tie is hidden, or protected test/session-2 evidence is opened.</x:v>
      </x:c>
      <x:c r="H32" s="12" t="str">
        <x:v>Codex</x:v>
      </x:c>
      <x:c r="I32" s="12" t="str">
        <x:v>Active</x:v>
      </x:c>
    </x:row>
    <x:row r="33" ht="145.5" customHeight="1">
      <x:c r="A33" s="12" t="str">
        <x:v>R32</x:v>
      </x:c>
      <x:c r="B33" s="12" t="str">
        <x:v>Metadata candidate becomes accidental authorization</x:v>
      </x:c>
      <x:c r="C33" s="12" t="str">
        <x:v>A local S25 MAT filename, official payload hash, or 1 GiB cap is treated as permission to hash/open targets, download the FIF, inspect signal, run a model, or silently substitute S18/S24/S22 after failure.</x:v>
      </x:c>
      <x:c r="D33" s="12" t="str">
        <x:v>High</x:v>
      </x:c>
      <x:c r="E33" s="12" t="str">
        <x:v>High</x:v>
      </x:c>
      <x:c r="F33" s="12" t="str">
        <x:v>Bind 18 false permissions; require source-model/control/target-isolation/final-rule hashes before preregistration; stage acquisition/header/signal/target/final access separately; prohibit automatic backup substitution.</x:v>
      </x:c>
      <x:c r="G33" s="12" t="str">
        <x:v>Any S25 content read or download before an exact green authorization-only commit, any candidate-side fitting, or any backup open after protected access.</x:v>
      </x:c>
      <x:c r="H33" s="12" t="str">
        <x:v>Codex</x:v>
      </x:c>
      <x:c r="I33" s="12" t="str">
        <x:v>Active</x:v>
      </x:c>
    </x:row>
  </x:sheetData>
  <x:dataValidations count="8">
    <x:dataValidation type="list" sqref="D2:D200">
      <x:formula1>"Low,Medium,High"</x:formula1>
    </x:dataValidation>
    <x:dataValidation type="list" sqref="E2:E200">
      <x:formula1>"Low,Medium,High"</x:formula1>
    </x:dataValidation>
    <x:dataValidation type="list" sqref="H2:H200">
      <x:formula1>"Cheick,Codex,GPT,TBD"</x:formula1>
    </x:dataValidation>
    <x:dataValidation type="list" sqref="I2:I200">
      <x:formula1>"Open,Watching,Mitigated,Closed"</x:formula1>
    </x:dataValidation>
    <x:dataValidation type="list" sqref="D12">
      <x:formula1>"Low,Medium,High"</x:formula1>
    </x:dataValidation>
    <x:dataValidation type="list" sqref="E12">
      <x:formula1>"Low,Medium,High"</x:formula1>
    </x:dataValidation>
    <x:dataValidation type="list" sqref="H12">
      <x:formula1>"Cheick,Codex,GPT,TBD"</x:formula1>
    </x:dataValidation>
    <x:dataValidation type="list" sqref="I12">
      <x:formula1>"Open,Watching,Mitigated,Closed"</x:formula1>
    </x:dataValidation>
  </x:dataValidations>
  <x:pageMargins left="0.7" right="0.7" top="0.75" bottom="0.75" header="0.3" footer="0.3"/>
  <x:tableParts count="1">
    <x:tablePart xmlns:r="http://schemas.openxmlformats.org/officeDocument/2006/relationships" r:id="R7fd11758ec704a08"/>
  </x:tableParts>
</x:worksheet>
</file>

<file path=xl/worksheets/sheet5.xml><?xml version="1.0" encoding="utf-8"?>
<x:worksheet xmlns:x="http://schemas.openxmlformats.org/spreadsheetml/2006/main">
  <x:sheetFormatPr defaultRowHeight="15"/>
  <x:cols>
    <x:col min="1" max="1" width="28" hidden="0" customWidth="1"/>
    <x:col min="2" max="2" width="80" hidden="0" customWidth="1"/>
  </x:cols>
  <x:sheetData>
    <x:row r="1" ht="30" customHeight="1">
      <x:c r="A1" s="6" t="str">
        <x:v>Field</x:v>
      </x:c>
      <x:c r="B1" s="6" t="str">
        <x:v>Fill-in</x:v>
      </x:c>
    </x:row>
    <x:row r="2" ht="42" customHeight="1">
      <x:c r="A2" s="12" t="str">
        <x:v>Loop ID</x:v>
      </x:c>
      <x:c r="B2" s="12" t="str"/>
    </x:row>
    <x:row r="3" ht="42" customHeight="1">
      <x:c r="A3" s="12" t="str">
        <x:v>Hypothesis</x:v>
      </x:c>
      <x:c r="B3" s="12" t="str"/>
    </x:row>
    <x:row r="4" ht="42" customHeight="1">
      <x:c r="A4" s="12" t="str">
        <x:v>Smallest useful dataset</x:v>
      </x:c>
      <x:c r="B4" s="12" t="str"/>
    </x:row>
    <x:row r="5" ht="42" customHeight="1">
      <x:c r="A5" s="12" t="str">
        <x:v>Baseline</x:v>
      </x:c>
      <x:c r="B5" s="12" t="str"/>
    </x:row>
    <x:row r="6" ht="42" customHeight="1">
      <x:c r="A6" s="12" t="str">
        <x:v>Variant</x:v>
      </x:c>
      <x:c r="B6" s="12" t="str"/>
    </x:row>
    <x:row r="7" ht="42" customHeight="1">
      <x:c r="A7" s="12" t="str">
        <x:v>Split type</x:v>
      </x:c>
      <x:c r="B7" s="12" t="str">
        <x:v>event / sentence / session / subject</x:v>
      </x:c>
    </x:row>
    <x:row r="8" ht="42" customHeight="1">
      <x:c r="A8" s="12" t="str">
        <x:v>Primary metric</x:v>
      </x:c>
      <x:c r="B8" s="12" t="str"/>
    </x:row>
    <x:row r="9" ht="42" customHeight="1">
      <x:c r="A9" s="12" t="str">
        <x:v>Secondary metric</x:v>
      </x:c>
      <x:c r="B9" s="12" t="str"/>
    </x:row>
    <x:row r="10" ht="42" customHeight="1">
      <x:c r="A10" s="12" t="str">
        <x:v>Acceptance gate</x:v>
      </x:c>
      <x:c r="B10" s="12" t="str"/>
    </x:row>
    <x:row r="11" ht="42" customHeight="1">
      <x:c r="A11" s="12" t="str">
        <x:v>Kill / iterate / proceed rule</x:v>
      </x:c>
      <x:c r="B11" s="12" t="str"/>
    </x:row>
    <x:row r="12" ht="42" customHeight="1">
      <x:c r="A12" s="12" t="str">
        <x:v>Command(s)</x:v>
      </x:c>
      <x:c r="B12" s="12" t="str"/>
    </x:row>
    <x:row r="13" ht="42" customHeight="1">
      <x:c r="A13" s="12" t="str">
        <x:v>Result summary</x:v>
      </x:c>
      <x:c r="B13" s="12" t="str"/>
    </x:row>
    <x:row r="14" ht="42" customHeight="1">
      <x:c r="A14" s="12" t="str">
        <x:v>Decision</x:v>
      </x:c>
      <x:c r="B14" s="12" t="str"/>
    </x:row>
    <x:row r="15" ht="42" customHeight="1">
      <x:c r="A15" s="12" t="str">
        <x:v>Next loop impact</x:v>
      </x:c>
      <x:c r="B15" s="12" t="str"/>
    </x:row>
  </x:sheetData>
  <x:dataValidations count="1">
    <x:dataValidation type="list" sqref="B13">
      <x:formula1>"Proceed,Iterate,Park,Kill"</x:formula1>
    </x:dataValidation>
  </x:dataValidations>
  <x:pageMargins left="0.7" right="0.7" top="0.75" bottom="0.75" header="0.3" footer="0.3"/>
</x:worksheet>
</file>

<file path=xl/worksheets/sheet6.xml><?xml version="1.0" encoding="utf-8"?>
<x:worksheet xmlns:x="http://schemas.openxmlformats.org/spreadsheetml/2006/main">
  <x:sheetFormatPr defaultRowHeight="15"/>
  <x:cols>
    <x:col min="1" max="1" width="8" hidden="0" customWidth="1"/>
    <x:col min="2" max="2" width="34" hidden="0" customWidth="1"/>
    <x:col min="3" max="3" width="80" hidden="0" customWidth="1"/>
  </x:cols>
  <x:sheetData>
    <x:row r="1" ht="30" customHeight="1">
      <x:c r="A1" s="6" t="str">
        <x:v>Loop ID</x:v>
      </x:c>
      <x:c r="B1" s="6" t="str">
        <x:v>Loop Name</x:v>
      </x:c>
      <x:c r="C1" s="6" t="str">
        <x:v>Prompt Seed</x:v>
      </x:c>
    </x:row>
    <x:row r="2" ht="58" customHeight="1">
      <x:c r="A2" s="14" t="n">
        <x:v>1</x:v>
      </x:c>
      <x:c r="B2" s="14" t="str">
        <x:v>PR1 Closeout + Smoke Loop</x:v>
      </x:c>
      <x:c r="C2" s="14" t="str">
        <x:v>Read PR1 diff, run tests, generate one synthetic cache, then attempt real one-block extraction only if files exist.</x:v>
      </x:c>
    </x:row>
    <x:row r="3" ht="58" customHeight="1">
      <x:c r="A3" s="14" t="n">
        <x:v>2</x:v>
      </x:c>
      <x:c r="B3" s="14" t="str">
        <x:v>SpanishBCBL Manifest v1</x:v>
      </x:c>
      <x:c r="C3" s="14" t="str">
        <x:v>Harden `manifest-from-paths` and produce a manifest summary with explicit unknowns rather than guessing.</x:v>
      </x:c>
    </x:row>
    <x:row r="4" ht="58" customHeight="1">
      <x:c r="A4" s="14" t="n">
        <x:v>3</x:v>
      </x:c>
      <x:c r="B4" s="14" t="str">
        <x:v>Safe Tiny-Shard Selector</x:v>
      </x:c>
      <x:c r="C4" s="14" t="str">
        <x:v>Make the tiny selector safety-first: max bytes, max files, dry-run default, and clear planned download report.</x:v>
      </x:c>
    </x:row>
    <x:row r="5" ht="58" customHeight="1">
      <x:c r="A5" s="14" t="n">
        <x:v>4</x:v>
      </x:c>
      <x:c r="B5" s="14" t="str">
        <x:v>B2Q-mini Cache v0</x:v>
      </x:c>
      <x:c r="C5" s="14" t="str">
        <x:v>Define the first stable tiny-cache schema and add a `load-cache` smoke command or test.</x:v>
      </x:c>
    </x:row>
    <x:row r="6" ht="58" customHeight="1">
      <x:c r="A6" s="14" t="n">
        <x:v>5</x:v>
      </x:c>
      <x:c r="B6" s="14" t="str">
        <x:v>Metrics + Error Report v1</x:v>
      </x:c>
      <x:c r="C6" s="14" t="str">
        <x:v>Build a report command that turns predictions + targets into a simple JSON/Markdown scorecard.</x:v>
      </x:c>
    </x:row>
    <x:row r="7" ht="58" customHeight="1">
      <x:c r="A7" s="14" t="n">
        <x:v>6</x:v>
      </x:c>
      <x:c r="B7" s="14" t="str">
        <x:v>LM-only / Prior-only Baseline</x:v>
      </x:c>
      <x:c r="C7" s="14" t="str">
        <x:v>Implement an intentionally dumb but critical no-brain baseline and wire it into the report.</x:v>
      </x:c>
    </x:row>
    <x:row r="8" ht="58" customHeight="1">
      <x:c r="A8" s="14" t="n">
        <x:v>7</x:v>
      </x:c>
      <x:c r="B8" s="14" t="str">
        <x:v>Template / Nearest-Centroid Baseline</x:v>
      </x:c>
      <x:c r="C8" s="14" t="str">
        <x:v>Build a tiny transparent classifier before any neural net. Make it boring and trustworthy.</x:v>
      </x:c>
    </x:row>
    <x:row r="9" ht="58" customHeight="1">
      <x:c r="A9" s="14" t="n">
        <x:v>8</x:v>
      </x:c>
      <x:c r="B9" s="14" t="str">
        <x:v>Tiny Conv / EEGNet-style Baseline</x:v>
      </x:c>
      <x:c r="C9" s="14" t="str">
        <x:v>Add a tiny neural baseline without making the package heavy; optional deps and fast smoke test only.</x:v>
      </x:c>
    </x:row>
    <x:row r="10" ht="58" customHeight="1">
      <x:c r="A10" s="14" t="n">
        <x:v>9</x:v>
      </x:c>
      <x:c r="B10" s="14" t="str">
        <x:v>CTC Character Decoder Scaffold</x:v>
      </x:c>
      <x:c r="C10" s="14" t="str">
        <x:v>Build a CPU-bounded continuous sentence cache and minimal CTC scaffold from validated S21 block1. Keep Torch optional; preserve the no-brain baseline; report shape, bytes, runtime, memory, CER, and blank rate; make no full-v2 performance claim.</x:v>
      </x:c>
    </x:row>
    <x:row r="11" ht="84" customHeight="1">
      <x:c r="A11" s="14" t="n">
        <x:v>10</x:v>
      </x:c>
      <x:c r="B11" s="14" t="str">
        <x:v>Sampling-Rate Sweep</x:v>
      </x:c>
      <x:c r="C11" s="14" t="str">
        <x:v>Run 100/50/25 Hz sentence-cache extraction from validated S21 block1 with identical 16-channel selection. Report bytes, runtime, peak RSS, valid lengths, CTC feasibility, and signal summaries; do not train or claim a real decoder.</x:v>
      </x:c>
    </x:row>
    <x:row r="12" ht="96" customHeight="1">
      <x:c r="A12" s="14" t="n">
        <x:v>11</x:v>
      </x:c>
      <x:c r="B12" s="14" t="str">
        <x:v>Channel / Sensor Subset Sweep</x:v>
      </x:c>
      <x:c r="C12" s="14" t="str">
        <x:v>Extract one 102-magnetometer 100 Hz S21 base cache with geometry before preload. Run nested 76/51/25/16/8 spatial-FPS, variance, random, and first-order subsets under 128 MiB; report resources, proxy metrics, overlaps, and exact identity without an accuracy or OPM claim.</x:v>
      </x:c>
    </x:row>
    <x:row r="13" ht="58" customHeight="1">
      <x:c r="A13" s="14" t="n">
        <x:v>12</x:v>
      </x:c>
      <x:c r="B13" s="14" t="str">
        <x:v>Precision + Storage Sweep</x:v>
      </x:c>
      <x:c r="C13" s="14" t="str">
        <x:v>On fixed Loop 11 base, FPS-16, and variance-16 caches, compare float32, float16, and calibrated integer/serialization variants. Record bytes, encode/load time, reconstruction RMSE/max error, saturation, and metadata identity; do not train or call a format accuracy-preserving.</x:v>
      </x:c>
    </x:row>
    <x:row r="14" ht="58" customHeight="1">
      <x:c r="A14" s="14" t="n">
        <x:v>13</x:v>
      </x:c>
      <x:c r="B14" s="14" t="str">
        <x:v>Measured Lazy-Backend Gate</x:v>
      </x:c>
      <x:c r="C14" s="14" t="str">
        <x:v>Run the bounded NPZ access gate first. Record relative inefficiency and absolute time/memory/size separately; add no backend without a failed measured gate and exact semantic-parity plan.</x:v>
      </x:c>
    </x:row>
    <x:row r="15" ht="96" customHeight="1">
      <x:c r="A15" s="14" t="n">
        <x:v>14</x:v>
      </x:c>
      <x:c r="B15" s="14" t="str">
        <x:v>Split Protocol v1</x:v>
      </x:c>
      <x:c r="C15" s="14" t="str">
        <x:v>Keep the strict 55/6/5 membership and five test rows frozen. Fit every data-dependent transform on train rows, compare neural and no-brain reports with paired uncertainty, and acquire another capped paired session before real adapter or candidate work.</x:v>
      </x:c>
    </x:row>
    <x:row r="16" ht="86" customHeight="1">
      <x:c r="A16" s="14" t="n">
        <x:v>15</x:v>
      </x:c>
      <x:c r="B16" s="14" t="str">
        <x:v>Normalization + Adapter Baseline</x:v>
      </x:c>
      <x:c r="C16" s="14" t="str">
        <x:v>Develop a synthetic domain-shift normalization/adapter gate and use only session-1 train rows for fit plus validation rows for selection. Keep source test and observed session 2 frozen; pre-register any next real comparison.</x:v>
      </x:c>
    </x:row>
    <x:row r="17" ht="58" customHeight="1">
      <x:c r="A17" s="14" t="n">
        <x:v>16</x:v>
      </x:c>
      <x:c r="B17" s="14" t="str">
        <x:v>Calibration Curve Study</x:v>
      </x:c>
      <x:c r="C17" s="14" t="str">
        <x:v>Build a CPU- and storage-bounded synthetic calibration curve for the robust channel-affine adapter. Use at least five calibration sizes, multiple shift seeds, unpaired target calibration, and one non-diagonal or time-varying shift. Report uncertainty and resource costs, compare against identity, and do not open any real holdout.</x:v>
      </x:c>
    </x:row>
    <x:row r="18" ht="58" customHeight="1">
      <x:c r="A18" s="14" t="n">
        <x:v>17</x:v>
      </x:c>
      <x:c r="B18" s="14" t="str">
        <x:v>Gradio Demo v1</x:v>
      </x:c>
      <x:c r="C18" s="14" t="str">
        <x:v>Build an honest, CPU-bounded Gradio demo from existing compact artifacts. Show a signal snippet, target, prediction, CER/WER, uncertainty, calibration status, and exact proof posture. Measure startup/RSS, keep Gradio optional, and state that the current typed-sentence CTC is noncausal and not arbitrary-thought decoding.</x:v>
      </x:c>
    </x:row>
    <x:row r="19" ht="78" customHeight="1">
      <x:c r="A19" s="14" t="n">
        <x:v>18</x:v>
      </x:c>
      <x:c r="B19" s="14" t="str">
        <x:v>Leaderboard + Report Cards</x:v>
      </x:c>
      <x:c r="C19" s="14" t="str">
        <x:v>Build Loop 18 as a local, artifact-only leaderboard. Define one versioned report-card contract for metrics, split/proof posture, comparator, resources, config, cache provenance, and missing-field flags; ingest at least three existing baselines without retraining or reopening observed real holdouts; emit deterministic JSON/Markdown plus one sortable CLI table; test malformed and mixed-version cards; report runtime, RSS, and bytes.</x:v>
      </x:c>
    </x:row>
    <x:row r="20" ht="81" customHeight="1">
      <x:c r="A20" s="14" t="n">
        <x:v>19</x:v>
      </x:c>
      <x:c r="B20" s="14" t="str">
        <x:v>EEG / MOABB Bridge</x:v>
      </x:c>
      <x:c r="C20" s="14" t="str">
        <x:v>Begin Loop 19 with a read-only, bounded EEG/MOABB-style bridge discovery gate. Identify the smallest task-compatible public EEG fixture, exact license, download bytes, optional dependency cost, channel/time/label mapping, and proof boundary before fetching data or adding code. Keep EEG and MEG report-card cohorts separate, default to no download, and define a CPU/storage acceptance gate plus a no-signal comparator.</x:v>
      </x:c>
    </x:row>
    <x:row r="21" ht="91.5" customHeight="1">
      <x:c r="A21" s="14" t="n">
        <x:v>20</x:v>
      </x:c>
      <x:c r="B21" s="14" t="str">
        <x:v>Neurotokens / v2-ready Interface</x:v>
      </x:c>
      <x:c r="C21" s="14" t="str">
        <x:v>Build Loop 20 as a small modality-aware NeuroTokenCache v0 interface over existing MEG/EEG arrays and synthetic embeddings. Define stable shape, dtype, timebase, channel/sensor geometry, validity mask, modality, split membership, source hashes, transformations, and resource metadata. Add synthetic contract and round-trip tests plus a bounded CLI smoke artifact. Do not assume unreleased Brain2Qwerty v2 data, train a larger model, reopen observed holdouts, or imply that embeddings are learned neurotokens with demonstrated decoding value.</x:v>
      </x:c>
    </x:row>
    <x:row r="22" ht="99" customHeight="1">
      <x:c r="A22" s="12" t="n">
        <x:v>21</x:v>
      </x:c>
      <x:c r="B22" s="12" t="str">
        <x:v>Causal NeuroToken Chunk/Replay</x:v>
      </x:c>
      <x:c r="C22" s="12" t="str">
        <x:v>Build a synthetic causal replay gate before any learned encoder or decoder. Define zero/right context, bounded mutable state, global frame timestamps, drop-incomplete flush behavior, several adversarial chunk schedules, offline compatibility, schedule-invariant output, scheduler delay, compute RTF, and strict access/resource caps. Do not open target arrays, real neural data, observed holdouts, or claim text/end-to-end latency.</x:v>
      </x:c>
    </x:row>
    <x:row r="23" ht="99" customHeight="1">
      <x:c r="A23" s="12" t="n">
        <x:v>22</x:v>
      </x:c>
      <x:c r="B23" s="12" t="str">
        <x:v>Tiny Learned Causal Encoder</x:v>
      </x:c>
      <x:c r="C23" s="12" t="str">
        <x:v>Train one optional-Torch causal encoder on synthetic train rows only, choose stopping/configuration on validation, compare with a no-signal prior, and open a frozen synthetic test once. Preserve Loop 21 chunk/state/timestamp equivalence and enforce parameter, mutable-state, CPU-thread, runtime, RSS, and artifact caps. Do not add a text decoder, language model, real-cache conversion, or observed MEG/EEG evaluation in this gate.</x:v>
      </x:c>
    </x:row>
    <x:row r="24" ht="93.75" customHeight="1">
      <x:c r="A24" s="12" t="n">
        <x:v>23</x:v>
      </x:c>
      <x:c r="B24" s="12" t="str">
        <x:v>Streaming CTC Prefix Decoder</x:v>
      </x:c>
      <x:c r="C24" s="12" t="str">
        <x:v>Preregister a fresh language-model-free greedy and width-8 prefix CTC gate with exact blank/repeat semantics, partial traces, controls, five-schedule replay, and one conditional frozen test open.</x:v>
      </x:c>
    </x:row>
    <x:row r="25" ht="93.75" customHeight="1">
      <x:c r="A25" s="12" t="n">
        <x:v>23.5</x:v>
      </x:c>
      <x:c r="B25" s="12" t="str">
        <x:v>Blank Intercept Calibration</x:v>
      </x:c>
      <x:c r="C25" s="12" t="str">
        <x:v>Fit exactly one train-frame blank-logit intercept on fresh splits, keep the decoder and symbol logits frozen, require no-harm calibration/control/replay gates, and open the new test once only after validation passes.</x:v>
      </x:c>
    </x:row>
    <x:row r="26" ht="93.75" customHeight="1">
      <x:c r="A26" s="12" t="n">
        <x:v>24</x:v>
      </x:c>
      <x:c r="B26" s="12" t="str">
        <x:v>Local Precision / Runtime Preregistration</x:v>
      </x:c>
      <x:c r="C26" s="12" t="str">
        <x:v>Before candidate code, freeze executable numeric paths, fresh selection data, reference outputs, correctness tolerances, runtime/RSS/state/size measurements, resource caps, and a no-rerun rule excluding consumed seeds 2203, 2303, and 2353.</x:v>
      </x:c>
    </x:row>
    <x:row r="27" ht="112.5" customHeight="1">
      <x:c r="A27" s="12" t="str">
        <x:v>RW1</x:v>
      </x:c>
      <x:c r="B27" s="12" t="str">
        <x:v>Metadata-Only Local Intake</x:v>
      </x:c>
      <x:c r="C27" s="12" t="str">
        <x:v>Recognize BrainVision, EDF/EDF+, BDF, EEGLAB, FIF, and BIDS synthetic fixtures; validate safe paths, companions, caps, deterministic JSON/Markdown, access counters, and refusal reasons without reading binary signal arrays, labels, targets, or network data.</x:v>
      </x:c>
    </x:row>
    <x:row r="28" ht="112.5" customHeight="1">
      <x:c r="A28" s="12" t="str">
        <x:v>RW2</x:v>
      </x:c>
      <x:c r="B28" s="12" t="str">
        <x:v>Signal-Quality Contract Preregistration</x:v>
      </x:c>
      <x:c r="C28" s="12" t="str">
        <x:v>Before implementation or signal access, freeze optional reader behavior, bounded samples/channels/time/bytes, units, reference, filters, geometry, events, PSD, warnings, privacy, one-thread resources, synthetic fixtures, and no-auto-deletion rules.</x:v>
      </x:c>
    </x:row>
    <x:row r="29" ht="123.75" customHeight="1">
      <x:c r="A29" s="12" t="str">
        <x:v>RW2-Impl</x:v>
      </x:c>
      <x:c r="B29" s="12" t="str">
        <x:v>Synthetic Bounded Signal Quality</x:v>
      </x:c>
      <x:c r="C29" s="12" t="str">
        <x:v>Implement commit eacb231 exactly on generated BrainVision, EDF/EDF+, BDF, external-FDT EEGLAB, FIF, and BIDS fixtures. Use explicit lazy optional readers, one thread, bounded windows/arrays/output, strict source binding, redaction and no-mutation checks, descriptive metrics only, exact malformed/refusal tests, and no real/S20/consumed/target/model/training access.</x:v>
      </x:c>
    </x:row>
    <x:row r="30" ht="126" customHeight="1">
      <x:c r="A30" s="12" t="str">
        <x:v>RW3</x:v>
      </x:c>
      <x:c r="B30" s="12" t="str">
        <x:v>Offline Replay / Live-Source Equivalence Preregistration</x:v>
      </x:c>
      <x:c r="C30" s="12" t="str">
        <x:v>Before installing or using BrainFlow, LSL, or hardware, freeze one versioned chunk/source schema; exact payload, channel, timestamp, clock-correction, packet-loss, ordering, mutable-state, flush, and schedule semantics; synthetic/playback dependency boundaries; privacy and local-only rules; one-thread runtime/RSS/state/output caps; exact replay tolerances; and proceed/park/kill rules. Do not open real/consumed/S20 data, train a model, or claim live, portable, real-time, or decoding support.</x:v>
      </x:c>
    </x:row>
    <x:row r="31" ht="126" customHeight="1">
      <x:c r="A31" s="12" t="str">
        <x:v>RW3-Review</x:v>
      </x:c>
      <x:c r="B31" s="12" t="str">
        <x:v>Review Frozen Replay Equivalence Registration</x:v>
      </x:c>
      <x:c r="C31" s="12" t="str">
        <x:v>Review commit c3d1f01, the RW3 primary-source research, preregistration, machine contract, and invariant tests. Confirm five schedules, 18 future fixture families, 30 refusal IDs, four sequential stages, strict timestamp/anomaly/hash/resource/access rules, and the no-runtime/no-decoding boundary. Do not implement Stage A, install BrainFlow/LSL/PyXDF, open sockets or streams, touch hardware or real/consumed data, create targets, run models, or train without separate explicit authorization.</x:v>
      </x:c>
    </x:row>
    <x:row r="32" ht="126" customHeight="1">
      <x:c r="A32" s="12" t="str">
        <x:v>RW3-StageA-Decision</x:v>
      </x:c>
      <x:c r="B32" s="12" t="str">
        <x:v>Decide Stage A Only</x:v>
      </x:c>
      <x:c r="C32" s="12" t="str">
        <x:v>Review docs/RW3_STAGE_A_AUTHORIZATION_PACKET.md and registries/rw3_stage_a_authorization_request.v0.json. Confirm the c3d1f01 contract hash, 90 proposed cases, 30 refusals, one-thread caps, forbidden work, and authorization-only commit sequence. Decide explicitly to authorize Stage A only, amend the packet, or hold. General continuation is not authorization. Do not implement anything; BrainFlow, LSL, PyXDF, sockets, devices, real or consumed data, targets, models, training, and Stages B-D remain unauthorized.</x:v>
      </x:c>
    </x:row>
    <x:row r="33" ht="39.599998474121094" hidden="0" customHeight="1">
      <x:c r="A33" s="14" t="str">
        <x:v>Loop24-Execute</x:v>
      </x:c>
      <x:c r="B33" s="14" t="str">
        <x:v>Authorized Target-Free Precision / Runtime Gate (Consumed)</x:v>
      </x:c>
      <x:c r="C33" s="14" t="str">
        <x:v>Historical consumed protocol only. Loop 24 ran once after its authorization-only commit and is now parked. Do not rerun seed 2401 or open seed 2402. Read docs/LOOP_24_LOCAL_PRECISION_RUNTIME.md and make the next action a separate Loop 25 preregistration decision.</x:v>
      </x:c>
    </x:row>
    <x:row r="34" ht="126" hidden="0" customHeight="1">
      <x:c r="A34" s="14" t="str">
        <x:v>Loop25-Decision</x:v>
      </x:c>
      <x:c r="B34" s="14" t="str">
        <x:v>Decide Amended Causal Preprocessing Gate v1</x:v>
      </x:c>
      <x:c r="C34" s="14" t="str">
        <x:v>Review docs/LOOP_25_AUTHORIZATION_PACKET_V1.md and registries/loop25_authorization_request.v1.json. Confirm green amendment b6b92d8, contract SHA-256 ecec99a7cc505ec0256c01c3c1e8aeaa05323ab54a71528323fa6d32bd289141, the dedicated anti-alias stage, 65,537 response points, 23 alias probes, seeds 2501/2502, seven schedules, ten resume cuts, three future-mutation cuts, 45 refusals, 23 counters, and 8 MiB/45-second caps. Decide explicitly to authorize only v1, amend again, or hold. General continuation is not authorization. Do not implement, generate coefficients or fixtures, open either seed, read data/caches/targets, run models, train, touch RW3, streams, devices, or hardware from this prompt.</x:v>
      </x:c>
    </x:row>
    <x:row r="35" ht="135" customHeight="1">
      <x:c r="A35" s="12" t="str">
        <x:v>Loop26-Research</x:v>
      </x:c>
      <x:c r="B35" s="12" t="str">
        <x:v>Review Validation Identifiability Before Preregistration</x:v>
      </x:c>
      <x:c r="C35" s="12" t="str">
        <x:v>Read docs/LOOP_26_PRIMARY_SOURCE_RESEARCH.md and registries/loop26_research_boundary.v0.json. Confirm 55/6/5 source membership, one person/session, 64 paired assignments, the unfrozen 2,908-parameter causal candidate and 2,884-parameter linear comparator, six control families, and 14 false authorization flags. Loop 25 must close first. Do not read caches or targets, run or train a model, open validation, reopen source test or session 2, create an experiment contract, or treat this research packet as authorization.</x:v>
      </x:c>
    </x:row>
    <x:row r="36" ht="144" customHeight="1">
      <x:c r="A36" s="12" t="str">
        <x:v>Loop27-Research</x:v>
      </x:c>
      <x:c r="B36" s="12" t="str">
        <x:v>Review S25 Holdout Metadata Without Opening It</x:v>
      </x:c>
      <x:c r="C36" s="12" t="str">
        <x:v>Read docs/LOOP_27_PRIMARY_SOURCE_RESEARCH.md and registries/loop27_research_boundary.v0.json. Confirm 315 MEG metadata entries, 23 strict pairs, 16 eligible pairs, S25 session 2 block 2, two exact files/1,009,939,983 bytes, official S23 exclusion, separate S20 EEG cohort, final-only no-fit recommendation, unavailable channels/trials/overlap/freshness, and 18 false permissions. Do not hash/open the local MAT, download the FIF, inspect a header/signal/target, create a selection/request, run/train a model, open a backup, or treat this research packet as authorization.</x:v>
      </x:c>
    </x:row>
  </x:sheetData>
  <x:pageMargins left="0.7" right="0.7" top="0.75" bottom="0.75" header="0.3" footer="0.3"/>
  <x:tableParts count="1">
    <x:tablePart xmlns:r="http://schemas.openxmlformats.org/officeDocument/2006/relationships" r:id="R7e2101b9745441d7"/>
  </x:tableParts>
</x:worksheet>
</file>

<file path=xl/worksheets/sheet7.xml><?xml version="1.0" encoding="utf-8"?>
<x:worksheet xmlns:x="http://schemas.openxmlformats.org/spreadsheetml/2006/main">
  <x:sheetFormatPr defaultRowHeight="15"/>
  <x:cols>
    <x:col min="1" max="1" width="9.130000114440918" hidden="0" customWidth="1"/>
    <x:col min="2" max="2" width="6.25" hidden="0" customWidth="1"/>
    <x:col min="3" max="3" width="5.75" hidden="0" customWidth="1"/>
    <x:col min="4" max="4" width="4.75" hidden="0" customWidth="1"/>
    <x:col min="5" max="5" width="9.130000114440918" hidden="0" customWidth="1"/>
    <x:col min="6" max="6" width="7" hidden="0" customWidth="1"/>
    <x:col min="7" max="7" width="8.380000114440918" hidden="0" customWidth="1"/>
    <x:col min="8" max="8" width="6.880000114440918" hidden="0" customWidth="1"/>
    <x:col min="9" max="9" width="8.75" hidden="0" customWidth="1"/>
  </x:cols>
  <x:sheetData>
    <x:row r="1" ht="30" customHeight="1">
      <x:c r="A1" s="6" t="str">
        <x:v>Status</x:v>
      </x:c>
      <x:c r="B1" s="6" t="str">
        <x:v>Priority</x:v>
      </x:c>
      <x:c r="C1" s="6" t="str">
        <x:v>Owner</x:v>
      </x:c>
      <x:c r="D1" s="6" t="str">
        <x:v>Effort</x:v>
      </x:c>
      <x:c r="E1" s="6" t="str">
        <x:v>Complexity</x:v>
      </x:c>
      <x:c r="F1" s="6" t="str">
        <x:v>Decision</x:v>
      </x:c>
      <x:c r="G1" s="6" t="str">
        <x:v>Likelihood</x:v>
      </x:c>
      <x:c r="H1" s="6" t="str">
        <x:v>Impact</x:v>
      </x:c>
      <x:c r="I1" s="6" t="str">
        <x:v>Risk Status</x:v>
      </x:c>
    </x:row>
    <x:row r="2">
      <x:c r="A2" t="str">
        <x:v>Not Started</x:v>
      </x:c>
      <x:c r="B2" t="str">
        <x:v>P0</x:v>
      </x:c>
      <x:c r="C2" t="str">
        <x:v>Cheick</x:v>
      </x:c>
      <x:c r="D2" t="str">
        <x:v>XS</x:v>
      </x:c>
      <x:c r="E2" t="str">
        <x:v>Low</x:v>
      </x:c>
      <x:c r="F2" t="str">
        <x:v>Proceed</x:v>
      </x:c>
      <x:c r="G2" t="str">
        <x:v>Low</x:v>
      </x:c>
      <x:c r="H2" t="str">
        <x:v>Low</x:v>
      </x:c>
      <x:c r="I2" t="str">
        <x:v>Open</x:v>
      </x:c>
    </x:row>
    <x:row r="3">
      <x:c r="A3" t="str">
        <x:v>In Progress</x:v>
      </x:c>
      <x:c r="B3" t="str">
        <x:v>P1</x:v>
      </x:c>
      <x:c r="C3" t="str">
        <x:v>Codex</x:v>
      </x:c>
      <x:c r="D3" t="str">
        <x:v>S</x:v>
      </x:c>
      <x:c r="E3" t="str">
        <x:v>Medium</x:v>
      </x:c>
      <x:c r="F3" t="str">
        <x:v>Iterate</x:v>
      </x:c>
      <x:c r="G3" t="str">
        <x:v>Medium</x:v>
      </x:c>
      <x:c r="H3" t="str">
        <x:v>Medium</x:v>
      </x:c>
      <x:c r="I3" t="str">
        <x:v>Watching</x:v>
      </x:c>
    </x:row>
    <x:row r="4">
      <x:c r="A4" t="str">
        <x:v>Review</x:v>
      </x:c>
      <x:c r="B4" t="str">
        <x:v>P2</x:v>
      </x:c>
      <x:c r="C4" t="str">
        <x:v>GPT</x:v>
      </x:c>
      <x:c r="D4" t="str">
        <x:v>M</x:v>
      </x:c>
      <x:c r="E4" t="str">
        <x:v>High</x:v>
      </x:c>
      <x:c r="F4" t="str">
        <x:v>Park</x:v>
      </x:c>
      <x:c r="G4" t="str">
        <x:v>High</x:v>
      </x:c>
      <x:c r="H4" t="str">
        <x:v>High</x:v>
      </x:c>
      <x:c r="I4" t="str">
        <x:v>Mitigated</x:v>
      </x:c>
    </x:row>
    <x:row r="5">
      <x:c r="A5" t="str">
        <x:v>Blocked</x:v>
      </x:c>
      <x:c r="B5" t="str">
        <x:v>P3</x:v>
      </x:c>
      <x:c r="C5" t="str">
        <x:v>TBD</x:v>
      </x:c>
      <x:c r="D5" t="str">
        <x:v>L</x:v>
      </x:c>
      <x:c r="E5" t="str">
        <x:v>Spike</x:v>
      </x:c>
      <x:c r="F5" t="str">
        <x:v>Kill</x:v>
      </x:c>
      <x:c r="G5" t="str"/>
      <x:c r="H5" t="str"/>
      <x:c r="I5" t="str">
        <x:v>Closed</x:v>
      </x:c>
    </x:row>
    <x:row r="6">
      <x:c r="A6" t="str">
        <x:v>Done</x:v>
      </x:c>
      <x:c r="B6" t="str"/>
      <x:c r="C6" t="str"/>
      <x:c r="D6" t="str">
        <x:v>XL</x:v>
      </x:c>
      <x:c r="E6" t="str"/>
      <x:c r="F6" t="str"/>
      <x:c r="G6" t="str"/>
      <x:c r="H6" t="str"/>
      <x:c r="I6" t="str"/>
    </x:row>
    <x:row r="7">
      <x:c r="A7" t="str">
        <x:v>Parked</x:v>
      </x:c>
      <x:c r="B7" t="str"/>
      <x:c r="C7" t="str"/>
      <x:c r="D7" t="str"/>
      <x:c r="E7" t="str"/>
      <x:c r="F7" t="str"/>
      <x:c r="G7" t="str"/>
      <x:c r="H7" t="str"/>
      <x:c r="I7" t="str"/>
    </x:row>
  </x:sheetData>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18.889999389648438" hidden="0" customWidth="1"/>
    <x:col min="3" max="3" width="33.33000183105469" hidden="0" customWidth="1"/>
    <x:col min="4" max="4" width="11.109999656677246" hidden="0" customWidth="1"/>
    <x:col min="5" max="5" width="28.889999389648438" hidden="0" customWidth="1"/>
    <x:col min="6" max="6" width="37.779998779296875" hidden="0" customWidth="1"/>
    <x:col min="7" max="7" width="17.780000686645508" hidden="0" customWidth="1"/>
    <x:col min="8" max="8" width="21.110000610351562" hidden="0" customWidth="1"/>
    <x:col min="9" max="9" width="31.110000610351562" hidden="0" customWidth="1"/>
  </x:cols>
  <x:sheetData>
    <x:row r="1" ht="28.5" customHeight="1">
      <x:c r="A1" s="44" t="str">
        <x:v>NeuroDecodeKit Real-World Practice Track</x:v>
      </x:c>
      <x:c r="B1" s="44"/>
      <x:c r="C1" s="44"/>
      <x:c r="D1" s="44"/>
      <x:c r="E1" s="44"/>
      <x:c r="F1" s="44"/>
      <x:c r="G1" s="44"/>
      <x:c r="H1" s="44"/>
      <x:c r="I1" s="44"/>
    </x:row>
    <x:row r="2" ht="42" customHeight="1">
      <x:c r="A2" s="48" t="str">
        <x:v>Parallel to Loop 24. Its frozen target-free run is now parked after 65.154951 s exceeded the 60 s cap; float32 is retained, seed 2401 is consumed, and seed 2402 stayed unopened. RW3 Stage A remains unauthorized at 163ff2f, and RW4/S20 remains blocked. Real data, targets, training, energy, streams, devices, and hardware are not authorized.</x:v>
      </x:c>
      <x:c r="B2" s="48"/>
      <x:c r="C2" s="48"/>
      <x:c r="D2" s="48"/>
      <x:c r="E2" s="48"/>
      <x:c r="F2" s="48"/>
      <x:c r="G2" s="48"/>
      <x:c r="H2" s="48"/>
      <x:c r="I2" s="48"/>
    </x:row>
    <x:row r="4" ht="24" customHeight="1">
      <x:c r="A4" s="53" t="str">
        <x:v>ID</x:v>
      </x:c>
      <x:c r="B4" s="53" t="str">
        <x:v>Gate</x:v>
      </x:c>
      <x:c r="C4" s="53" t="str">
        <x:v>Core Question</x:v>
      </x:c>
      <x:c r="D4" s="53" t="str">
        <x:v>Status</x:v>
      </x:c>
      <x:c r="E4" s="53" t="str">
        <x:v>Deliverable</x:v>
      </x:c>
      <x:c r="F4" s="53" t="str">
        <x:v>Acceptance Boundary</x:v>
      </x:c>
      <x:c r="G4" s="53" t="str">
        <x:v>Depends On</x:v>
      </x:c>
      <x:c r="H4" s="53" t="str">
        <x:v>Proof Posture</x:v>
      </x:c>
      <x:c r="I4" s="53" t="str">
        <x:v>Evidence</x:v>
      </x:c>
    </x:row>
    <x:row r="5" ht="61.5" customHeight="1">
      <x:c r="A5" s="57" t="str">
        <x:v>RW0</x:v>
      </x:c>
      <x:c r="B5" s="57" t="str">
        <x:v>Dataset/device research</x:v>
      </x:c>
      <x:c r="C5" s="57" t="str">
        <x:v>Which cohorts, devices, formats, and transports are credible?</x:v>
      </x:c>
      <x:c r="D5" s="65" t="str">
        <x:v>Done</x:v>
      </x:c>
      <x:c r="E5" s="57" t="str">
        <x:v>Versioned registries, primary-source research, BYO spec, exact fresh-data packet.</x:v>
      </x:c>
      <x:c r="F5" s="57" t="str">
        <x:v>8 datasets, 13 devices, zero signal/consumed/model/target/download access.</x:v>
      </x:c>
      <x:c r="G5" s="57" t="str">
        <x:v>None</x:v>
      </x:c>
      <x:c r="H5" s="57" t="str">
        <x:v>Metadata-only research</x:v>
      </x:c>
      <x:c r="I5" s="57" t="str">
        <x:v>docs/REAL_WORLD_PRACTICE_TRACK_RESEARCH.md</x:v>
      </x:c>
    </x:row>
    <x:row r="6" ht="69" customHeight="1">
      <x:c r="A6" s="61" t="str">
        <x:v>RW1</x:v>
      </x:c>
      <x:c r="B6" s="61" t="str">
        <x:v>Local metadata intake</x:v>
      </x:c>
      <x:c r="C6" s="61" t="str">
        <x:v>Can a user identify a local recording without reading signal arrays?</x:v>
      </x:c>
      <x:c r="D6" s="70" t="str">
        <x:v>Done</x:v>
      </x:c>
      <x:c r="E6" s="61" t="str">
        <x:v>Dependency-free level-0 scanner, CLI, deterministic JSON/Markdown.</x:v>
      </x:c>
      <x:c r="F6" s="61" t="str">
        <x:v>Closed: 11 focused tests; 532-byte fixture; 11,545 output bytes; zero signal/target/model/network access.</x:v>
      </x:c>
      <x:c r="G6" s="61" t="str">
        <x:v>RW0</x:v>
      </x:c>
      <x:c r="H6" s="61" t="str">
        <x:v>No signal or decoding claim</x:v>
      </x:c>
      <x:c r="I6" s="61" t="str">
        <x:v>docs/RW1_METADATA_ONLY_LOCAL_INTAKE.md</x:v>
      </x:c>
    </x:row>
    <x:row r="7" ht="81" customHeight="1">
      <x:c r="A7" s="57" t="str">
        <x:v>RW2</x:v>
      </x:c>
      <x:c r="B7" s="57" t="str">
        <x:v>Signal-quality contract</x:v>
      </x:c>
      <x:c r="C7" s="57" t="str">
        <x:v>Can optional readers validate bounded signals, timing, events, and quality?</x:v>
      </x:c>
      <x:c r="D7" s="73" t="str">
        <x:v>Done</x:v>
      </x:c>
      <x:c r="E7" s="57" t="str">
        <x:v>Direct optional MNE adapters, deterministic quality JSON/Markdown/audit, strict load/validation, and 40 target-free fixtures.</x:v>
      </x:c>
      <x:c r="F7" s="57" t="str">
        <x:v>Closed: 38 readable fixtures pass; 2 refusals match; 9 focused tests; 76,592-byte FIF report; zero real/cache/target/model/training/network access.</x:v>
      </x:c>
      <x:c r="G7" s="57" t="str">
        <x:v>RW1 + eacb231</x:v>
      </x:c>
      <x:c r="H7" s="57" t="str">
        <x:v>Synthetic compatibility level 2 only</x:v>
      </x:c>
      <x:c r="I7" s="57" t="str">
        <x:v>docs/RW2_SIGNAL_QUALITY_CLOSEOUT.md</x:v>
      </x:c>
    </x:row>
    <x:row r="8" ht="126" customHeight="1">
      <x:c r="A8" s="61" t="str">
        <x:v>RW3</x:v>
      </x:c>
      <x:c r="B8" s="61" t="str">
        <x:v>Replay/live equivalence</x:v>
      </x:c>
      <x:c r="C8" s="61" t="str">
        <x:v>Can offline replay use the exact future live-source chunk contract?</x:v>
      </x:c>
      <x:c r="D8" s="77" t="str">
        <x:v>Review</x:v>
      </x:c>
      <x:c r="E8" s="61" t="str">
        <x:v>Frozen contract plus a hash-bound Stage A decision packet: five schedules x 18 future target-free fixtures = 90 cases, all 30 refusal IDs, exact one-thread caps, and an authorization-only commit sequence.</x:v>
      </x:c>
      <x:c r="F8" s="61" t="str">
        <x:v>10 contract/request invariants pass; authorized_now is false; zero source chunks, fixtures, CLI additions, optional imports, sockets, streams, boards, XDF/data/target/model/training access.</x:v>
      </x:c>
      <x:c r="G8" s="61" t="str">
        <x:v>RW2 + c3d1f01 + 163ff2f</x:v>
      </x:c>
      <x:c r="H8" s="61" t="str">
        <x:v>Decision packet only; Stage A unapproved</x:v>
      </x:c>
      <x:c r="I8" s="61" t="str">
        <x:v>docs/RW3_STAGE_A_AUTHORIZATION_PACKET.md</x:v>
      </x:c>
    </x:row>
    <x:row r="9" ht="61.5" customHeight="1">
      <x:c r="A9" s="57" t="str">
        <x:v>RW4</x:v>
      </x:c>
      <x:c r="B9" s="57" t="str">
        <x:v>Fresh public EEG benchmark</x:v>
      </x:c>
      <x:c r="C9" s="57" t="str">
        <x:v>Does one fresh typing block beat prior and shuffle controls?</x:v>
      </x:c>
      <x:c r="D9" s="69" t="str">
        <x:v>Blocked</x:v>
      </x:c>
      <x:c r="E9" s="57" t="str">
        <x:v>One-time S20 event-level aggregate report.</x:v>
      </x:c>
      <x:c r="F9" s="57" t="str">
        <x:v>Explicit approval; exactly 4 files/96,090,264 bytes; no CER/WER.</x:v>
      </x:c>
      <x:c r="G9" s="57" t="str">
        <x:v>User approval + RW2</x:v>
      </x:c>
      <x:c r="H9" s="57" t="str">
        <x:v>Within-recording event evidence at most</x:v>
      </x:c>
      <x:c r="I9" s="57" t="str">
        <x:v>docs/FRESH_EEG_BENCHMARK_S20_APPROVAL_PACKET.md</x:v>
      </x:c>
    </x:row>
    <x:row r="10" ht="61.5" customHeight="1">
      <x:c r="A10" s="61" t="str">
        <x:v>RW5</x:v>
      </x:c>
      <x:c r="B10" s="61" t="str">
        <x:v>Board-neutral acquisition</x:v>
      </x:c>
      <x:c r="C10" s="61" t="str">
        <x:v>Can one BrainFlow or LSL EEG board pass replay and privacy gates?</x:v>
      </x:c>
      <x:c r="D10" s="68" t="str">
        <x:v>Not Started</x:v>
      </x:c>
      <x:c r="E10" s="61" t="str">
        <x:v>One device descriptor and recorded/live comparison.</x:v>
      </x:c>
      <x:c r="F10" s="61" t="str">
        <x:v>Measured raw API, timing, packet loss, consent, and locality.</x:v>
      </x:c>
      <x:c r="G10" s="61" t="str">
        <x:v>RW3</x:v>
      </x:c>
      <x:c r="H10" s="61" t="str">
        <x:v>No portable decoder claim</x:v>
      </x:c>
      <x:c r="I10" s="61" t="str">
        <x:v>registries/devices.v0.json</x:v>
      </x:c>
    </x:row>
    <x:row r="11" ht="61.5" customHeight="1">
      <x:c r="A11" s="57" t="str">
        <x:v>RW6</x:v>
      </x:c>
      <x:c r="B11" s="57" t="str">
        <x:v>Prompted-typing EEG protocol</x:v>
      </x:c>
      <x:c r="C11" s="57" t="str">
        <x:v>Can task-matched local EEG be collected with synchronized prompts/keys?</x:v>
      </x:c>
      <x:c r="D11" s="67" t="str">
        <x:v>Not Started</x:v>
      </x:c>
      <x:c r="E11" s="57" t="str">
        <x:v>Consent, retention, trigger, calibration, and split protocol.</x:v>
      </x:c>
      <x:c r="F11" s="57" t="str">
        <x:v>No collection before ethics, consent, and exact preregistration.</x:v>
      </x:c>
      <x:c r="G11" s="57" t="str">
        <x:v>RW5</x:v>
      </x:c>
      <x:c r="H11" s="57" t="str">
        <x:v>Acquisition protocol only</x:v>
      </x:c>
      <x:c r="I11" s="57" t="str">
        <x:v>docs/POST_20_ROADMAP.md</x:v>
      </x:c>
    </x:row>
    <x:row r="12" ht="61.5" customHeight="1">
      <x:c r="A12" s="61" t="str">
        <x:v>RW7</x:v>
      </x:c>
      <x:c r="B12" s="61" t="str">
        <x:v>Multimodal ablations</x:v>
      </x:c>
      <x:c r="C12" s="61" t="str">
        <x:v>What comes from EEG versus eye, EOG, EMG, heart, motion, or audio?</x:v>
      </x:c>
      <x:c r="D12" s="68" t="str">
        <x:v>Not Started</x:v>
      </x:c>
      <x:c r="E12" s="61" t="str">
        <x:v>Brain-only, peripheral-only, and combined reports.</x:v>
      </x:c>
      <x:c r="F12" s="61" t="str">
        <x:v>Peripheral contribution never credited to EEG; controls mandatory.</x:v>
      </x:c>
      <x:c r="G12" s="61" t="str">
        <x:v>RW5-RW6</x:v>
      </x:c>
      <x:c r="H12" s="61" t="str">
        <x:v>Cohort-specific attribution</x:v>
      </x:c>
      <x:c r="I12" s="61" t="str">
        <x:v>registries/devices.v0.json</x:v>
      </x:c>
    </x:row>
    <x:row r="13" ht="61.5" customHeight="1">
      <x:c r="A13" s="57" t="str">
        <x:v>RW8</x:v>
      </x:c>
      <x:c r="B13" s="57" t="str">
        <x:v>Local BYO workbench</x:v>
      </x:c>
      <x:c r="C13" s="57" t="str">
        <x:v>Can users inspect, replay, qualify, and report without cloud upload?</x:v>
      </x:c>
      <x:c r="D13" s="67" t="str">
        <x:v>Not Started</x:v>
      </x:c>
      <x:c r="E13" s="57" t="str">
        <x:v>Operational local interface with compatibility levels 0-6.</x:v>
      </x:c>
      <x:c r="F13" s="57" t="str">
        <x:v>Unknown input remains inspectable but non-decodable.</x:v>
      </x:c>
      <x:c r="G13" s="57" t="str">
        <x:v>RW1-RW7</x:v>
      </x:c>
      <x:c r="H13" s="57" t="str">
        <x:v>Product capability only</x:v>
      </x:c>
      <x:c r="I13" s="57" t="str">
        <x:v>docs/BYO_NEURODATA_WORKBENCH_SPEC.md</x:v>
      </x:c>
    </x:row>
    <x:row r="14" ht="61.5" customHeight="1">
      <x:c r="A14" s="61" t="str">
        <x:v>RW9</x:v>
      </x:c>
      <x:c r="B14" s="61" t="str">
        <x:v>Phone/wearable deployment</x:v>
      </x:c>
      <x:c r="C14" s="61" t="str">
        <x:v>Which validated capabilities fit a mobile or wearable envelope?</x:v>
      </x:c>
      <x:c r="D14" s="68" t="str">
        <x:v>Not Started</x:v>
      </x:c>
      <x:c r="E14" s="61" t="str">
        <x:v>Measured offline packaging, battery, latency, and privacy gate.</x:v>
      </x:c>
      <x:c r="F14" s="61" t="str">
        <x:v>Requires a qualified device/task/model first.</x:v>
      </x:c>
      <x:c r="G14" s="61" t="str">
        <x:v>RW5-RW8</x:v>
      </x:c>
      <x:c r="H14" s="61" t="str">
        <x:v>No clinical or arbitrary-thought claim</x:v>
      </x:c>
      <x:c r="I14" s="61" t="str">
        <x:v>docs/POST_20_ROADMAP.md</x:v>
      </x:c>
    </x:row>
  </x:sheetData>
  <x:mergeCells>
    <x:mergeCell ref="A1:I1"/>
    <x:mergeCell ref="A2:I2"/>
  </x:mergeCells>
  <x:dataValidations count="1">
    <x:dataValidation type="list" sqref="D5:D14">
      <x:formula1>"Done,Active,Blocked,Not Started,Parked"</x:formula1>
    </x:dataValidation>
  </x:dataValidations>
  <x:pageMargins left="0.7" right="0.7" top="0.75" bottom="0.75" header="0.3" footer="0.3"/>
  <x:tableParts count="1">
    <x:tablePart xmlns:r="http://schemas.openxmlformats.org/officeDocument/2006/relationships" r:id="R42c12f66885e4207"/>
  </x:tableParts>
</x:worksheet>
</file>

<file path=xl/worksheets/sheet9.xml><?xml version="1.0" encoding="utf-8"?>
<x:worksheet xmlns:x="http://schemas.openxmlformats.org/spreadsheetml/2006/main">
  <x:sheetViews>
    <x:sheetView showGridLines="0" workbookViewId="0"/>
  </x:sheetViews>
  <x:sheetFormatPr defaultRowHeight="15"/>
  <x:cols>
    <x:col min="1" max="1" width="7" hidden="0" customWidth="1"/>
    <x:col min="2" max="2" width="24" hidden="0" customWidth="1"/>
    <x:col min="3" max="3" width="32" hidden="0" customWidth="1"/>
    <x:col min="4" max="4" width="13" hidden="0" customWidth="1"/>
    <x:col min="5" max="5" width="42" hidden="0" customWidth="1"/>
    <x:col min="6" max="6" width="42" hidden="0" customWidth="1"/>
    <x:col min="7" max="7" width="52" hidden="0" customWidth="1"/>
    <x:col min="8" max="8" width="56" hidden="0" customWidth="1"/>
    <x:col min="9" max="9" width="38" hidden="0" customWidth="1"/>
    <x:col min="10" max="10" width="54" hidden="0" customWidth="1"/>
    <x:col min="11" max="11" width="31" hidden="0" customWidth="1"/>
    <x:col min="12" max="12" width="46" hidden="0" customWidth="1"/>
    <x:col min="13" max="13" width="38" hidden="0" customWidth="1"/>
    <x:col min="14" max="14" width="23" hidden="0" customWidth="1"/>
    <x:col min="15" max="15" width="15" hidden="0" customWidth="1"/>
    <x:col min="16" max="16" width="46" hidden="0" customWidth="1"/>
  </x:cols>
  <x:sheetData>
    <x:row r="1" ht="34" customHeight="1">
      <x:c r="A1" s="81" t="str">
        <x:v>NeuroDecodeKit Next 20 Loops: 25-44</x:v>
      </x:c>
      <x:c r="B1" s="81"/>
      <x:c r="C1" s="81"/>
      <x:c r="D1" s="81"/>
      <x:c r="E1" s="81"/>
      <x:c r="F1" s="81"/>
      <x:c r="G1" s="81"/>
      <x:c r="H1" s="81"/>
      <x:c r="I1" s="81"/>
      <x:c r="J1" s="81"/>
      <x:c r="K1" s="81"/>
      <x:c r="L1" s="81"/>
      <x:c r="M1" s="81"/>
      <x:c r="N1" s="81"/>
      <x:c r="O1" s="81"/>
      <x:c r="P1" s="81"/>
    </x:row>
    <x:row r="2" ht="61.5" customHeight="1">
      <x:c r="A2" s="86" t="str">
        <x:v>Current gate: Loop 25 amended v1 still awaits its exact decision. Loop 26 planning research defines the six-row neural question but no experiment. Loop 27 planning research selected S25 session 2 block 2 in metadata only: one FIF plus one protected MAT log, exact total 1,009,939,983 bytes under a future 1 GiB cap. The source model, controls, target isolation, and final-only transfer rule are not frozen. No preregistration, request, download, local MAT hash, header, signal, target, model, training, final open, backup, RW3, stream, device, or hardware operation is authorized.</x:v>
      </x:c>
      <x:c r="B2" s="86"/>
      <x:c r="C2" s="86"/>
      <x:c r="D2" s="86"/>
      <x:c r="E2" s="86"/>
      <x:c r="F2" s="86"/>
      <x:c r="G2" s="86"/>
      <x:c r="H2" s="86"/>
      <x:c r="I2" s="86"/>
      <x:c r="J2" s="86"/>
      <x:c r="K2" s="86"/>
      <x:c r="L2" s="86"/>
      <x:c r="M2" s="86"/>
      <x:c r="N2" s="86"/>
      <x:c r="O2" s="86"/>
      <x:c r="P2" s="86"/>
    </x:row>
    <x:row r="3" ht="31.5" customHeight="1">
      <x:c r="A3" s="98" t="str">
        <x:v>20 loops | Loop 25 v1 decision pending | Loop 26 research complete / experiment Not Started | Loop 27 S25 metadata selected / preregistration blocked | Loops 28-44 Not Started | all 20 execution flags false | source: registries/next_20_loops.v0.json</x:v>
      </x:c>
      <x:c r="B3" s="99"/>
      <x:c r="C3" s="99"/>
      <x:c r="D3" s="99"/>
      <x:c r="E3" s="99"/>
      <x:c r="F3" s="99"/>
      <x:c r="G3" s="99"/>
      <x:c r="H3" s="99"/>
      <x:c r="I3" s="99"/>
      <x:c r="J3" s="99"/>
      <x:c r="K3" s="99"/>
      <x:c r="L3" s="99"/>
      <x:c r="M3" s="99"/>
      <x:c r="N3" s="99"/>
      <x:c r="O3" s="99"/>
      <x:c r="P3" s="100"/>
    </x:row>
    <x:row r="4" ht="44" customHeight="1">
      <x:c r="A4" s="105" t="str">
        <x:v>Loop</x:v>
      </x:c>
      <x:c r="B4" s="105" t="str">
        <x:v>Phase</x:v>
      </x:c>
      <x:c r="C4" s="105" t="str">
        <x:v>Gate</x:v>
      </x:c>
      <x:c r="D4" s="105" t="str">
        <x:v>Priority / Effort</x:v>
      </x:c>
      <x:c r="E4" s="105" t="str">
        <x:v>Core question</x:v>
      </x:c>
      <x:c r="F4" s="105" t="str">
        <x:v>Why high value</x:v>
      </x:c>
      <x:c r="G4" s="105" t="str">
        <x:v>Build + research deliverables</x:v>
      </x:c>
      <x:c r="H4" s="105" t="str">
        <x:v>Data scope + controls</x:v>
      </x:c>
      <x:c r="I4" s="105" t="str">
        <x:v>Primary metrics</x:v>
      </x:c>
      <x:c r="J4" s="105" t="str">
        <x:v>Acceptance + stop rule</x:v>
      </x:c>
      <x:c r="K4" s="105" t="str">
        <x:v>Dependencies</x:v>
      </x:c>
      <x:c r="L4" s="105" t="str">
        <x:v>Authorization boundary</x:v>
      </x:c>
      <x:c r="M4" s="105" t="str">
        <x:v>Resource cap</x:v>
      </x:c>
      <x:c r="N4" s="105" t="str">
        <x:v>Proof posture</x:v>
      </x:c>
      <x:c r="O4" s="105" t="str">
        <x:v>Status</x:v>
      </x:c>
      <x:c r="P4" s="105" t="str">
        <x:v>Primary source URLs</x:v>
      </x:c>
    </x:row>
    <x:row r="5" ht="180" customHeight="1">
      <x:c r="A5" s="125" t="n">
        <x:v>25</x:v>
      </x:c>
      <x:c r="B5" s="128" t="str">
        <x:v>P1 - Causal Evidence</x:v>
      </x:c>
      <x:c r="C5" s="113" t="str">
        <x:v>Causal Preprocessing Audit</x:v>
      </x:c>
      <x:c r="D5" s="134" t="str">
        <x:v>P0 / M</x:v>
      </x:c>
      <x:c r="E5" s="113" t="str">
        <x:v>Can every transform before the causal encoder run incrementally without future samples, evaluation-fit statistics, timestamp drift, or chunk-boundary changes?</x:v>
      </x:c>
      <x:c r="F5" s="113" t="str">
        <x:v>A causal model is not causal if filtering, resampling, padding, or normalization leaks future context; this gate protects every later streaming claim.</x:v>
      </x:c>
      <x:c r="G5" s="113" t="str">
        <x:v>Build: Versioned stateful preprocessing contract with a dedicated causal anti-alias SOS stage, phase-locked decimator, replay harness, transform provenance, and fail-closed refusals.
Research: Pinned Brain2Qwerty-to-NeuralSet-to-MNE source trace plus filter delay, full folding-band, alias-map, resampling jitter, padding, and train-only normalization analysis.</x:v>
      </x:c>
      <x:c r="H5" s="113" t="str">
        <x:v>Data: Target-free synthetic signals first; any later S21 use is restricted to separately authorized source-train rows and may not open source-test or session-2 evidence.
Controls:
- Seven frozen chunk schedules including whole-item, single-sample, decimation-boundary, frame-boundary, powers-of-two, and seeded-irregular splits.
- Six target-free signal families, ten resume cuts, and three future-mutation cuts across physically separate seeds 2501 and 2502.
- A 65,537-point 0-500 Hz response grid, 23 exact alias source probes, and complete 50-500 Hz folding-band attenuation before any fixture array opens.
- Offline noncausal reference reported separately and never substituted for the causal path.</x:v>
      </x:c>
      <x:c r="I5" s="113" t="str">
        <x:v>- right-context samples and milliseconds
- valid-sample and timestamp identity
- maximum offline-stream payload error
- schedule hash agreement
- dedicated and complete-chain folding-band attenuation plus alias destination correctness
- runtime, peak RSS, input bytes, output bytes, and access counts</x:v>
      </x:c>
      <x:c r="J5" s="113" t="str">
        <x:v>Acceptance: Proceed only if the dedicated anti-alias and complete chain pass the full 50-500 Hz folding-band gate before seed access, declared right context is zero, every schedule preserves samples, timestamps, and state, all forbidden counters are zero, and resource caps pass.
Stop: Park with both seeds unopened if the static filter gate fails; otherwise park any transform that needs future samples or cannot preserve timing, and never widen tolerances after observing a protected row.</x:v>
      </x:c>
      <x:c r="K5" s="113" t="str">
        <x:v>Loops: none
External: explicit_loop25_authorization_decision</x:v>
      </x:c>
      <x:c r="L5" s="113" t="str">
        <x:v>Amended at green commit b6b92d8 after the v0 anti-alias scope was superseded before authorization. Await a separate exact decision through docs/LOOP_25_AUTHORIZATION_PACKET_V1.md; the v1 request is false, seeds 2501/2502 are unopened, and coefficients, fixtures, runtime, data/cache/target/model/training access, RW3, streams, devices, and hardware remain unauthorized.</x:v>
      </x:c>
      <x:c r="M5" s="113" t="str">
        <x:v>One thread, one worker, 4 MiB fixtures, 16 MiB working arrays, 8 MiB total generated artifacts, 45 seconds internal runtime, 4 KiB mutable state, and 1 GiB peak RSS.</x:v>
      </x:c>
      <x:c r="N5" s="140" t="str">
        <x:v>amended_preregistered_no_implementation_or_execution</x:v>
      </x:c>
      <x:c r="O5" s="146" t="str">
        <x:v>Review</x:v>
      </x:c>
      <x:c r="P5" s="149" t="str">
        <x:v>https://facebookresearch.github.io/brain2qwerty/assets/brain2qwerty_v2.pdf
https://github.com/facebookresearch/neuroai/blob/v0.2.2/neuralset-repo/neuralset/extractors/neuro.py#L334-L381
https://mne.tools/stable/generated/mne.filter.resample.html
https://docs.scipy.org/doc/scipy-1.14.1/reference/generated/scipy.signal.iirdesign.html</x:v>
      </x:c>
    </x:row>
    <x:row r="6" ht="210" customHeight="1">
      <x:c r="A6" s="126" t="n">
        <x:v>26</x:v>
      </x:c>
      <x:c r="B6" s="129" t="str">
        <x:v>P1 - Causal Evidence</x:v>
      </x:c>
      <x:c r="C6" s="114" t="str">
        <x:v>Real Validation-Only Encoder Gate</x:v>
      </x:c>
      <x:c r="D6" s="135" t="str">
        <x:v>P0 / L</x:v>
      </x:c>
      <x:c r="E6" s="114" t="str">
        <x:v>Does one fixed, small causal encoder show neural information above no-signal and shuffled controls on source validation without touching any test set?</x:v>
      </x:c>
      <x:c r="F6" s="114" t="str">
        <x:v>The project has strong mechanics but no real neural advantage; this is the first gate that can justify continuing the predictive branch.</x:v>
      </x:c>
      <x:c r="G6" s="114" t="str">
        <x:v>Build: Preregistered tiny architecture, train-only fit path, six-row validation report, uncertainty, control parity, and immutable access ledger.
Research: Completed planning-only power and identifiability note: six paired rows yield 64 exact sign assignments, one-person inference only, and no source-test or transfer claim.
Packet: docs/LOOP_26_PRIMARY_SOURCE_RESEARCH.md</x:v>
      </x:c>
      <x:c r="H6" s="114" t="str">
        <x:v>Data: Only separately authorized S21 source-train and source-validation members; five source-test rows and all session-2 rows stay closed.
Controls:
- Same-split train-only no-signal sentence prior and zero-signal inference.
- Semantic-ID-derived train-target derangement frozen before targets open.
- Nonwrapping zero-filled time displacement and channel-name-hash derangements frozen before signal arrays open.
- A 2,884-parameter linear signal CTC matched against the recommended 2,908-parameter causal candidate.</x:v>
      </x:c>
      <x:c r="I6" s="114" t="str">
        <x:v>- macro per-sentence CER and corpus CER
- all six paired item differences and complete 64-assignment exact null
- exact-sequence accuracy, WER, blank fraction, and wins/ties/losses
- margin over every signal-free and corrupted-signal control
- parameter count, runtime, peak RSS, and artifact bytes
- raw, cache, target, model, and training access counts</x:v>
      </x:c>
      <x:c r="J6" s="114" t="str">
        <x:v>Acceptance: A future preregistration may proceed only after Loop 25 closes. A future experiment may proceed only if its frozen primary neural-versus-prior margin and every required control pass on exactly six validation rows with no access violation; this cannot authorize source-test opening.
Stop: If the neural path does not beat the registered controls, park real-model scaling and move to failure analysis without touching test or increasing model size.</x:v>
      </x:c>
      <x:c r="K6" s="114" t="str">
        <x:v>Loops: 25
External: separate_real_cache_and_training_authorization</x:v>
      </x:c>
      <x:c r="L6" s="114" t="str">
        <x:v>Planning research is complete, but no experiment preregistration or authorization sentence exists. Real-cache reads, target access, training, validation opening, model runs, test/session-2 access, and Loop 25 execution are unauthorized now.</x:v>
      </x:c>
      <x:c r="M6" s="114" t="str">
        <x:v>One thread, one worker, at most 2,908 trainable parameters, 32 MiB generated artifacts, 20 minutes total future CPU time across candidate and controls, and 1 GiB peak RSS.</x:v>
      </x:c>
      <x:c r="N6" s="141" t="str">
        <x:v>planned_not_authorized; planning_research_complete</x:v>
      </x:c>
      <x:c r="O6" s="147" t="str">
        <x:v>Not Started</x:v>
      </x:c>
      <x:c r="P6" s="150" t="str">
        <x:v>https://www.nature.com/articles/s41593-026-02303-2.pdf
https://facebookresearch.github.io/brain2qwerty/assets/brain2qwerty_v2.pdf
https://github.com/facebookresearch/brain2qwerty/tree/main/brain2qwerty_v2
https://docs.scipy.org/doc/scipy/reference/generated/scipy.stats.permutation_test.html
https://docs.scipy.org/doc/scipy/reference/generated/scipy.stats.bootstrap.html
https://jmlr.org/beta/papers/v11/ojala10a.html
https://pubmed.ncbi.nlm.nih.gov/28655633/
https://onlinelibrary.wiley.com/doi/10.1111/jtsa.12638</x:v>
      </x:c>
    </x:row>
    <x:row r="7" ht="225" customHeight="1">
      <x:c r="A7" s="126" t="n">
        <x:v>27</x:v>
      </x:c>
      <x:c r="B7" s="129" t="str">
        <x:v>P1 - Causal Evidence</x:v>
      </x:c>
      <x:c r="C7" s="114" t="str">
        <x:v>Fresh Holdout Preregistration</x:v>
      </x:c>
      <x:c r="D7" s="135" t="str">
        <x:v>P0 / M</x:v>
      </x:c>
      <x:c r="E7" s="114" t="str">
        <x:v>Which independent participant, session, or task-matched recording can answer the next claim without recycling S21 session-2 or S7 evidence?</x:v>
      </x:c>
      <x:c r="F7" s="114" t="str">
        <x:v>A fresh, hash-bound test is more valuable than another tuned result on already observed data.</x:v>
      </x:c>
      <x:c r="G7" s="114" t="str">
        <x:v>Build: Metadata-only candidate registry, license and byte ledger, exact file plan, split protocol, target-isolation plan, and one-time analysis contract.
Research: Completed metadata-only selection of S25 session 2 block 2 as a 1,009,939,983-byte MEG candidate, with exact payload identities, official exclusions, unavailable fields, and preregistration blockers.
Packet: docs/LOOP_27_PRIMARY_SOURCE_RESEARCH.md</x:v>
      </x:c>
      <x:c r="H7" s="114" t="str">
        <x:v>Data: Metadata and public documentation only; no download, signal read, target read, or remote row preview.
Controls:
- Independent identity and sentence-membership audit.
- Exact no-signal and shuffle comparators frozen before acquisition.
- One-time test access sequence with physical or cryptographic partition separation.</x:v>
      </x:c>
      <x:c r="I7" s="114" t="str">
        <x:v>- planned files and bytes
- subjects, sessions, trials, and unique sentence groups
- license and redistribution status
- identity-overlap and task-match warnings
- authorized and unavailable access counters</x:v>
      </x:c>
      <x:c r="J7" s="114" t="str">
        <x:v>Acceptance: Approve a future acquisition packet only if independence, task match, licensing, exact byte cap, split power, and one-time decision rule are explicit; otherwise record no eligible holdout.
Stop: Hold acquisition if identity, license, task, timing, or byte provenance is ambiguous; never substitute a convenient consumed cohort.</x:v>
      </x:c>
      <x:c r="K7" s="114" t="str">
        <x:v>Loops: none for metadata research
External: none for metadata research</x:v>
      </x:c>
      <x:c r="L7" s="114" t="str">
        <x:v>Planning research selected S25 metadata only. No preregistration or authorization request exists; download, local log hashing, header/signal/MAT/target access, model/training/final opening, backup substitution, and Loop 28 remain unauthorized.</x:v>
      </x:c>
      <x:c r="M7" s="114" t="str">
        <x:v>Zero downloaded bytes, zero signal reads, one thread, one worker, 8 MiB planning artifacts, and 10 minutes local metadata processing.</x:v>
      </x:c>
      <x:c r="N7" s="141" t="str">
        <x:v>planned_not_authorized; planning_research_complete; candidate=spanishbcbl-meg-s25-session2-block2-v0</x:v>
      </x:c>
      <x:c r="O7" s="147" t="str">
        <x:v>Not Started</x:v>
      </x:c>
      <x:c r="P7" s="150" t="str">
        <x:v>https://www.nature.com/articles/s41593-026-02303-2.pdf
https://facebookresearch.github.io/brain2qwerty/assets/brain2qwerty_v2.pdf
https://arxiv.org/abs/1803.09010</x:v>
      </x:c>
    </x:row>
    <x:row r="8" ht="138" customHeight="1">
      <x:c r="A8" s="126" t="n">
        <x:v>28</x:v>
      </x:c>
      <x:c r="B8" s="129" t="str">
        <x:v>P1 - Causal Evidence</x:v>
      </x:c>
      <x:c r="C8" s="114" t="str">
        <x:v>Session And Person Transfer</x:v>
      </x:c>
      <x:c r="D8" s="135" t="str">
        <x:v>P0 / L</x:v>
      </x:c>
      <x:c r="E8" s="114" t="str">
        <x:v>Does the frozen causal system transfer to a genuinely fresh session or person, and how much predeclared calibration is required?</x:v>
      </x:c>
      <x:c r="F8" s="114" t="str">
        <x:v>The existing same-person cross-session result is negative; a fresh one-time test is required before any generalization claim can move.</x:v>
      </x:c>
      <x:c r="G8" s="114" t="str">
        <x:v>Build: Frozen source model, identity-safe adapter protocol, one-time holdout runner, calibration curve, paired controls, and claim-specific report card.
Research: Transfer taxonomy distinguishing same-session, same-person cross-session, unseen-person zero-shot, and unseen-person calibrated evidence.</x:v>
      </x:c>
      <x:c r="H8" s="114" t="str">
        <x:v>Data: Only a separately acquired and authorized Loop 27 holdout after architecture, preprocessing, adapter, thresholds, and reports are frozen.
Controls:
- Train-only no-signal prior evaluated on identical rows.
- Zero-shot frozen model before any calibration.
- Calibration-size curve with a physically separate final partition.
- Identity and repeated-text leakage audit.</x:v>
      </x:c>
      <x:c r="I8" s="114" t="str">
        <x:v>- CER, WER where justified, and exact sequence accuracy
- neural-minus-prior paired interval
- zero-shot versus calibrated delta
- calibration examples, seconds, and compute
- session/person-specific failure rates</x:v>
      </x:c>
      <x:c r="J8" s="114" t="str">
        <x:v>Acceptance: Promote only the exact same-person or unseen-person claim whose preregistered interval and controls pass on the one-time fresh partition.
Stop: A failed fresh gate closes that transfer claim; do not tune on the opened holdout or relabel calibrated performance as zero-shot.</x:v>
      </x:c>
      <x:c r="K8" s="114" t="str">
        <x:v>Loops: 25, 26, 27
External: approved_fresh_holdout_packet, separate_one_time_test_authorization</x:v>
      </x:c>
      <x:c r="L8" s="114" t="str">
        <x:v>Planning only. No fresh acquisition, model run, calibration, or holdout opening is authorized.</x:v>
      </x:c>
      <x:c r="M8" s="114" t="str">
        <x:v>One thread and worker, frozen small model, 32 MiB outputs, preregistered calibration budget, and 1 GiB peak RSS.</x:v>
      </x:c>
      <x:c r="N8" s="141" t="str">
        <x:v>planned_not_authorized</x:v>
      </x:c>
      <x:c r="O8" s="147" t="str">
        <x:v>Not Started</x:v>
      </x:c>
      <x:c r="P8" s="150" t="str">
        <x:v>https://facebookresearch.github.io/brain2qwerty/assets/brain2qwerty_v2.pdf
https://arxiv.org/abs/2404.15319</x:v>
      </x:c>
    </x:row>
    <x:row r="9" ht="138" customHeight="1">
      <x:c r="A9" s="126" t="n">
        <x:v>29</x:v>
      </x:c>
      <x:c r="B9" s="129" t="str">
        <x:v>P2 - Translation And Generalization</x:v>
      </x:c>
      <x:c r="C9" s="114" t="str">
        <x:v>Portable Sensing Translation</x:v>
      </x:c>
      <x:c r="D9" s="135" t="str">
        <x:v>P1 / M</x:v>
      </x:c>
      <x:c r="E9" s="114" t="str">
        <x:v>Which validated requirements survive a move from cryogenic MEG toward OPM-MEG or EEG, and which assumptions break?</x:v>
      </x:c>
      <x:c r="F9" s="114" t="str">
        <x:v>Portability is the product direction users care about, but channel-count ablation is not device qualification.</x:v>
      </x:c>
      <x:c r="G9" s="114" t="str">
        <x:v>Build: Versioned modality requirement matrix covering geometry, reference, units, bandwidth, noise, shielding, timing, compute, and calibration.
Research: Primary-source OPM-MEG and EEG feasibility review with explicit unavailable fields and partner-data gates.</x:v>
      </x:c>
      <x:c r="H9" s="114" t="str">
        <x:v>Data: Public specifications and existing aggregate evidence only; no device session, new recording, or synthetic claim of modality equivalence.
Controls:
- Separate rows for cryogenic MEG, OPM-MEG, scalp EEG, and non-neural wearables.
- Measured device values distinguished from vendor specifications and unknowns.
- Random channel ablation explicitly excluded as OPM or EEG evidence.</x:v>
      </x:c>
      <x:c r="I9" s="114" t="str">
        <x:v>- requirement coverage and unavailable-field count
- sensor count, rate, units, geometry, and clock provenance
- known versus inferred versus measured status
- minimum future qualification evidence</x:v>
      </x:c>
      <x:c r="J9" s="114" t="str">
        <x:v>Acceptance: Proceed to a device-specific packet only when one modality has task, timing, geometry, privacy, licensing, and resource requirements that can be measured directly.
Stop: Do not call a simulated subset, vendor specification, or file-reader success portable decoding.</x:v>
      </x:c>
      <x:c r="K9" s="114" t="str">
        <x:v>Loops: 27
External: none</x:v>
      </x:c>
      <x:c r="L9" s="114" t="str">
        <x:v>Research and registry planning only; hardware, acquisition, and signal reads require separate authorization.</x:v>
      </x:c>
      <x:c r="M9" s="114" t="str">
        <x:v>Zero hardware sessions, zero downloads, one thread, one worker, and 8 MiB documentation artifacts.</x:v>
      </x:c>
      <x:c r="N9" s="141" t="str">
        <x:v>planned_not_authorized</x:v>
      </x:c>
      <x:c r="O9" s="147" t="str">
        <x:v>Not Started</x:v>
      </x:c>
      <x:c r="P9" s="150" t="str">
        <x:v>https://facebookresearch.github.io/brain2qwerty/assets/brain2qwerty_v2.pdf
https://arxiv.org/abs/2404.15319</x:v>
      </x:c>
    </x:row>
    <x:row r="10" ht="138" customHeight="1">
      <x:c r="A10" s="126" t="n">
        <x:v>30</x:v>
      </x:c>
      <x:c r="B10" s="129" t="str">
        <x:v>P2 - Translation And Generalization</x:v>
      </x:c>
      <x:c r="C10" s="114" t="str">
        <x:v>Local Private Streaming Prototype</x:v>
      </x:c>
      <x:c r="D10" s="135" t="str">
        <x:v>P1 / M</x:v>
      </x:c>
      <x:c r="E10" s="114" t="str">
        <x:v>Can a user inspect incremental hypotheses, revisions, timing, provenance, and refusals locally without confusing replay with live decoding?</x:v>
      </x:c>
      <x:c r="F10" s="114" t="str">
        <x:v>A trustworthy interaction surface exposes latency and uncertainty instead of hiding them behind a final sentence.</x:v>
      </x:c>
      <x:c r="G10" s="114" t="str">
        <x:v>Build: Loopback-only replay UI with partial hypotheses, revision trace, stage clocks, resource telemetry, warnings, and local artifact loading.
Research: Interaction contract for partial output, abstention, revision, privacy, and replay/live labels.</x:v>
      </x:c>
      <x:c r="H10" s="114" t="str">
        <x:v>Data: Existing synthetic artifacts and aggregate-only real scorecards; no raw real signal, cloud call, socket, or hardware source.
Controls:
- Replay badge and source identity visible in every view.
- No-signal comparator shown beside predictive outputs.
- Cold start, steady state, scheduling delay, compute delay, and render delay separated.</x:v>
      </x:c>
      <x:c r="I10" s="114" t="str">
        <x:v>- first-token and finalization latency by stage
- revision count and prefix stability
- event-loop responsiveness
- runtime, peak RSS, input and output bytes
- network, raw, cache, model, and training counters</x:v>
      </x:c>
      <x:c r="J10" s="114" t="str">
        <x:v>Acceptance: Pass only as a local replay interface when all source, causality, latency, unavailable-confidence, and proof labels remain visible and browser QA passes.
Stop: Park any interface that implies live hardware, real-time text, confidence, or neural success that the loaded artifact does not prove.</x:v>
      </x:c>
      <x:c r="K10" s="114" t="str">
        <x:v>Loops: 25
External: none</x:v>
      </x:c>
      <x:c r="L10" s="114" t="str">
        <x:v>Planning only. UI implementation and replay execution require a separate bounded Loop 30 authorization; live sources remain outside scope.</x:v>
      </x:c>
      <x:c r="M10" s="114" t="str">
        <x:v>Loopback only, one thread, one worker, 32 MiB temporary artifacts, 1 GiB peak RSS, and no network dependency.</x:v>
      </x:c>
      <x:c r="N10" s="141" t="str">
        <x:v>planned_not_authorized</x:v>
      </x:c>
      <x:c r="O10" s="147" t="str">
        <x:v>Not Started</x:v>
      </x:c>
      <x:c r="P10" s="150" t="str">
        <x:v>https://facebookresearch.github.io/brain2qwerty/assets/brain2qwerty_v2.pdf
https://labstreaminglayer.readthedocs.io/info/time_synchronization.html</x:v>
      </x:c>
    </x:row>
    <x:row r="11" ht="138" customHeight="1">
      <x:c r="A11" s="126" t="n">
        <x:v>31</x:v>
      </x:c>
      <x:c r="B11" s="129" t="str">
        <x:v>P2 - Translation And Generalization</x:v>
      </x:c>
      <x:c r="C11" s="114" t="str">
        <x:v>Neural Contribution Ablation</x:v>
      </x:c>
      <x:c r="D11" s="135" t="str">
        <x:v>P0 / L</x:v>
      </x:c>
      <x:c r="E11" s="114" t="str">
        <x:v>When a predictive system improves, how much comes from neural signal rather than text priors, timing, sentence lists, or pipeline artifacts?</x:v>
      </x:c>
      <x:c r="F11" s="114" t="str">
        <x:v>This gate prevents autocomplete, prompt memorization, and event timing from being credited to brain activity.</x:v>
      </x:c>
      <x:c r="G11" s="114" t="str">
        <x:v>Build: Hash-bound ablation matrix with full signal, no-signal, shuffled-neural, timing-only, text-prior, and optional neurotoken-drop conditions.
Research: Neural-contribution estimand and claim language for encoder-only and language-model-assisted systems.</x:v>
      </x:c>
      <x:c r="H11" s="114" t="str">
        <x:v>Data: Future authorized validation data only; no consumed test or target-informed fixture construction.
Controls:
- No-signal prior and prompt/sentence-list-only baseline.
- Within-split temporal, channel, and item permutations fixed before evaluation.
- Encoder-only and language-model-assisted outputs reported separately.
- Matched access, preprocessing, parameter, and decoding budgets where feasible.</x:v>
      </x:c>
      <x:c r="I11" s="114" t="str">
        <x:v>- full-minus-ablation CER and WER deltas
- paired intervals and effect consistency
- neural-token drop degradation
- language-prior gain
- shortcut-control failure count</x:v>
      </x:c>
      <x:c r="J11" s="114" t="str">
        <x:v>Acceptance: Call a neural contribution only if the preregistered full-signal condition beats every required signal-free or corrupted-signal control with the expected direction and no leakage.
Stop: If a signal-free or shortcut control matches the full path, withhold the neural claim and return to split, confound, or model diagnosis.</x:v>
      </x:c>
      <x:c r="K11" s="114" t="str">
        <x:v>Loops: 26
External: separate_validation_and_model_authorization</x:v>
      </x:c>
      <x:c r="L11" s="114" t="str">
        <x:v>Planning only. No target, model, validation, or language-model run is authorized.</x:v>
      </x:c>
      <x:c r="M11" s="114" t="str">
        <x:v>One thread, fixed small model, preregistered condition count, 32 MiB artifacts, and 1 GiB peak RSS.</x:v>
      </x:c>
      <x:c r="N11" s="141" t="str">
        <x:v>planned_not_authorized</x:v>
      </x:c>
      <x:c r="O11" s="147" t="str">
        <x:v>Not Started</x:v>
      </x:c>
      <x:c r="P11" s="150" t="str">
        <x:v>https://www.nature.com/articles/s41593-026-02303-2.pdf
https://facebookresearch.github.io/brain2qwerty/assets/brain2qwerty_v2.pdf</x:v>
      </x:c>
    </x:row>
    <x:row r="12" ht="138" customHeight="1">
      <x:c r="A12" s="126" t="n">
        <x:v>32</x:v>
      </x:c>
      <x:c r="B12" s="129" t="str">
        <x:v>P2 - Translation And Generalization</x:v>
      </x:c>
      <x:c r="C12" s="114" t="str">
        <x:v>New-Subject Calibration And Adaptation</x:v>
      </x:c>
      <x:c r="D12" s="135" t="str">
        <x:v>P1 / L</x:v>
      </x:c>
      <x:c r="E12" s="114" t="str">
        <x:v>What is the smallest honest calibration budget that improves a fresh person without training on their final evaluation rows?</x:v>
      </x:c>
      <x:c r="F12" s="114" t="str">
        <x:v>Subject variability is a central barrier, and zero-shot versus calibrated performance must be separated.</x:v>
      </x:c>
      <x:c r="G12" s="114" t="str">
        <x:v>Build: Frozen adapter family, calibration-size schedule, train-only normalization, independent selection and final partitions, and time/compute report.
Research: Calibration protocol covering unlabeled, label-light, and supervised cases with distinct claims.</x:v>
      </x:c>
      <x:c r="H12" s="114" t="str">
        <x:v>Data: Only a future authorized fresh participant with physically separated calibration, selection, and final partitions.
Controls:
- Frozen zero-shot source model.
- Identity or normalization-only adapter.
- Same-size signal-free prior and label-permutation control.
- Multiple registered calibration sizes without final-partition reuse.</x:v>
      </x:c>
      <x:c r="I12" s="114" t="str">
        <x:v>- zero-shot and calibrated CER
- gain per calibration item and minute
- calibration compute and wall time
- no-harm item count
- selection-to-final generalization</x:v>
      </x:c>
      <x:c r="J12" s="114" t="str">
        <x:v>Acceptance: Promote a calibrated-person claim only when a preselected adapter improves the one-time final partition against zero-shot and prior controls within the declared budget.
Stop: Do not call calibration zero-shot, do not pick a budget on final data, and park adapters that help validation but harm the final partition.</x:v>
      </x:c>
      <x:c r="K12" s="114" t="str">
        <x:v>Loops: 28, 31
External: approved_fresh_person_protocol</x:v>
      </x:c>
      <x:c r="L12" s="114" t="str">
        <x:v>Planning only. Participant data, labels, calibration, training, and final evaluation remain unauthorized.</x:v>
      </x:c>
      <x:c r="M12" s="114" t="str">
        <x:v>One thread, one worker, fixed small adapter family, 32 MiB outputs, and preregistered maximum calibration minutes.</x:v>
      </x:c>
      <x:c r="N12" s="141" t="str">
        <x:v>planned_not_authorized</x:v>
      </x:c>
      <x:c r="O12" s="147" t="str">
        <x:v>Not Started</x:v>
      </x:c>
      <x:c r="P12" s="150" t="str">
        <x:v>https://facebookresearch.github.io/brain2qwerty/assets/brain2qwerty_v2.pdf
https://arxiv.org/abs/2404.15319</x:v>
      </x:c>
    </x:row>
    <x:row r="13" ht="138" customHeight="1">
      <x:c r="A13" s="126" t="n">
        <x:v>33</x:v>
      </x:c>
      <x:c r="B13" s="129" t="str">
        <x:v>P3 - Reliability And Confounds</x:v>
      </x:c>
      <x:c r="C13" s="114" t="str">
        <x:v>Data Scaling And Sample Efficiency</x:v>
      </x:c>
      <x:c r="D13" s="135" t="str">
        <x:v>P1 / L</x:v>
      </x:c>
      <x:c r="E13" s="114" t="str">
        <x:v>Do additional hours and additional unique sentences improve the fixed local encoder, and where does the small-data curve stop paying off?</x:v>
      </x:c>
      <x:c r="F13" s="114" t="str">
        <x:v>Scaling evidence guides acquisition better than guessing whether to collect more repetitions, more sentences, or more people.</x:v>
      </x:c>
      <x:c r="G13" s="114" t="str">
        <x:v>Build: Nested train-prefix runner with fixed validation, unique-sentence and repetition controls, multi-seed uncertainty, and compute ledger.
Research: Local scaling design that avoids extrapolating Brain2Qwerty v2's 90-hour curve to the tiny SpanishBCBL setting.</x:v>
      </x:c>
      <x:c r="H13" s="114" t="str">
        <x:v>Data: Future authorized train and validation partitions only; no fresh test opening and no larger architecture.
Controls:
- Nested subsets preserve participant and sentence membership.
- Matched total-trial comparison of repeated versus unique sentences.
- No-signal baseline at every data size.
- Fixed architecture, optimizer, stopping rule, and seed list.</x:v>
      </x:c>
      <x:c r="I13" s="114" t="str">
        <x:v>- CER versus hours, trials, and unique sentences
- slope and uncertainty on registered scale
- neural-minus-prior margin by size
- training time and energy proxy if available
- marginal gain per added MiB and minute</x:v>
      </x:c>
      <x:c r="J13" s="114" t="str">
        <x:v>Acceptance: Proceed only if a preregistered monotonic or model-based trend is stable across seeds and remains above the no-signal control; report non-saturation only within observed bounds.
Stop: Stop the curve when gains disappear, controls fail, or the resource budget is reached; never infer a large-scale law from the bounded local range.</x:v>
      </x:c>
      <x:c r="K13" s="114" t="str">
        <x:v>Loops: 26, 31
External: separate_bounded_training_authorization</x:v>
      </x:c>
      <x:c r="L13" s="114" t="str">
        <x:v>Planning only. Training prefixes, validation runs, and energy measurements are unauthorized.</x:v>
      </x:c>
      <x:c r="M13" s="114" t="str">
        <x:v>One thread and worker, fixed tiny architecture, at most six train sizes and three seeds if authorized, 32 MiB outputs, and a preregistered CPU-hour cap.</x:v>
      </x:c>
      <x:c r="N13" s="141" t="str">
        <x:v>planned_not_authorized</x:v>
      </x:c>
      <x:c r="O13" s="147" t="str">
        <x:v>Not Started</x:v>
      </x:c>
      <x:c r="P13" s="150" t="str">
        <x:v>https://facebookresearch.github.io/brain2qwerty/assets/brain2qwerty_v2.pdf
https://arxiv.org/abs/2404.15319</x:v>
      </x:c>
    </x:row>
    <x:row r="14" ht="138" customHeight="1">
      <x:c r="A14" s="126" t="n">
        <x:v>34</x:v>
      </x:c>
      <x:c r="B14" s="129" t="str">
        <x:v>P3 - Reliability And Confounds</x:v>
      </x:c>
      <x:c r="C14" s="114" t="str">
        <x:v>Confidence, Abstention, And Revision</x:v>
      </x:c>
      <x:c r="D14" s="135" t="str">
        <x:v>P1 / M</x:v>
      </x:c>
      <x:c r="E14" s="114" t="str">
        <x:v>Can the system identify when to abstain or delay output without tuning confidence on the final test?</x:v>
      </x:c>
      <x:c r="F14" s="114" t="str">
        <x:v>A decoder that knows when it is unreliable is more useful and safer than one that always emits fluent text.</x:v>
      </x:c>
      <x:c r="G14" s="114" t="str">
        <x:v>Build: Validation-fit confidence contract, risk-coverage report, abstention and revision policy, calibration diagnostics, and user-visible unavailable state.
Research: Selective-prediction and conformal-risk review mapped to tiny correlated sequence data.</x:v>
      </x:c>
      <x:c r="H14" s="114" t="str">
        <x:v>Data: Synthetic first; any real use requires separate calibration and final partitions and cannot reopen consumed evidence.
Controls:
- Confidence-free always-predict baseline.
- Entropy, margin, stability, and prior-only confidence candidates selected on validation only.
- Coverage levels fixed before final evaluation.
- Sequence and item clustering respected in uncertainty estimates.</x:v>
      </x:c>
      <x:c r="I14" s="114" t="str">
        <x:v>- risk-coverage curve and area
- error rate at registered coverage
- abstention rate
- expected calibration error where sample size permits
- revision count and time-to-stability</x:v>
      </x:c>
      <x:c r="J14" s="114" t="str">
        <x:v>Acceptance: Expose confidence only if higher declared confidence reliably lowers error on an independent partition and the registered coverage-risk rule passes.
Stop: If confidence does not rank errors or sample size is insufficient, publish confidence as unavailable rather than inventing a score.</x:v>
      </x:c>
      <x:c r="K14" s="114" t="str">
        <x:v>Loops: 30, 31
External: separate_calibration_evaluation_authorization</x:v>
      </x:c>
      <x:c r="L14" s="114" t="str">
        <x:v>Planning only. No confidence fitting, model inference, or final-partition opening is authorized.</x:v>
      </x:c>
      <x:c r="M14" s="114" t="str">
        <x:v>Dependency-free metrics where possible, one thread, 16 MiB artifacts, and no additional model training.</x:v>
      </x:c>
      <x:c r="N14" s="141" t="str">
        <x:v>planned_not_authorized</x:v>
      </x:c>
      <x:c r="O14" s="147" t="str">
        <x:v>Not Started</x:v>
      </x:c>
      <x:c r="P14" s="150" t="str">
        <x:v>https://arxiv.org/abs/1705.08500</x:v>
      </x:c>
    </x:row>
    <x:row r="15" ht="138" customHeight="1">
      <x:c r="A15" s="126" t="n">
        <x:v>35</x:v>
      </x:c>
      <x:c r="B15" s="129" t="str">
        <x:v>P3 - Reliability And Confounds</x:v>
      </x:c>
      <x:c r="C15" s="114" t="str">
        <x:v>Peripheral Confound Firewall</x:v>
      </x:c>
      <x:c r="D15" s="135" t="str">
        <x:v>P0 / L</x:v>
      </x:c>
      <x:c r="E15" s="114" t="str">
        <x:v>Is apparent decoding driven by brain signal, or by keystroke timing, muscle, eye, motion, audio, or prompt leakage?</x:v>
      </x:c>
      <x:c r="F15" s="114" t="str">
        <x:v>Prompted typing strongly recruits motor systems, so a positive score is not enough to establish neural specificity.</x:v>
      </x:c>
      <x:c r="G15" s="114" t="str">
        <x:v>Build: Confound registry, synchronized brain-only/peripheral-only/combined protocol, shortcut audits, and claim-blocking report fields.
Research: Primary-source confound taxonomy for prompted typing and future no-keypress translation.</x:v>
      </x:c>
      <x:c r="H15" s="114" t="str">
        <x:v>Data: Protocol and synthetic timing fixtures first; real multimodal collection requires separate consent, retention, device, and acquisition authorization.
Controls:
- Keystroke timing and key identity without neural samples.
- Peripheral-only channels including EOG, EMG, motion, microphone, or hand tracking when actually recorded.
- Brain-only channels with synchronized event structure.
- Time-shift, channel-drop, and event-jitter controls.</x:v>
      </x:c>
      <x:c r="I15" s="114" t="str">
        <x:v>- brain-only, peripheral-only, combined, and timing-only performance
- incremental neural contribution
- shortcut detection rate
- clock and event alignment residuals
- unavailable modality count</x:v>
      </x:c>
      <x:c r="J15" s="114" t="str">
        <x:v>Acceptance: A brain-specific claim requires brain-only performance above all preregistered non-brain controls and a positive incremental contribution over the strongest peripheral condition.
Stop: If peripheral or timing controls explain the result, relabel it as task/peripheral decoding and block a neural claim.</x:v>
      </x:c>
      <x:c r="K15" s="114" t="str">
        <x:v>Loops: 31
External: separate_multimodal_ethics_and_acquisition_authorization</x:v>
      </x:c>
      <x:c r="L15" s="114" t="str">
        <x:v>Planning only. No peripheral recording, device access, real signal read, or model run is authorized.</x:v>
      </x:c>
      <x:c r="M15" s="114" t="str">
        <x:v>Zero collection now; future packet must set exact files, bytes, retention, one-thread analysis, and 32 MiB derived-artifact cap.</x:v>
      </x:c>
      <x:c r="N15" s="141" t="str">
        <x:v>planned_not_authorized</x:v>
      </x:c>
      <x:c r="O15" s="147" t="str">
        <x:v>Not Started</x:v>
      </x:c>
      <x:c r="P15" s="150" t="str">
        <x:v>https://www.nature.com/articles/s41593-026-02303-2.pdf
https://facebookresearch.github.io/brain2qwerty/assets/brain2qwerty_v2.pdf</x:v>
      </x:c>
    </x:row>
    <x:row r="16" ht="138" customHeight="1">
      <x:c r="A16" s="126" t="n">
        <x:v>36</x:v>
      </x:c>
      <x:c r="B16" s="129" t="str">
        <x:v>P3 - Reliability And Confounds</x:v>
      </x:c>
      <x:c r="C16" s="114" t="str">
        <x:v>Geometry And Reference Harmonization</x:v>
      </x:c>
      <x:c r="D16" s="135" t="str">
        <x:v>P1 / M</x:v>
      </x:c>
      <x:c r="E16" s="114" t="str">
        <x:v>Can channel geometry, names, units, reference, and missing sensors be normalized across sessions and devices without erasing provenance?</x:v>
      </x:c>
      <x:c r="F16" s="114" t="str">
        <x:v>Cross-session and cross-device failures can come from coordinate or reference mismatch rather than model capacity.</x:v>
      </x:c>
      <x:c r="G16" s="114" t="str">
        <x:v>Build: Versioned channel ontology, geometry transform ledger, reference/unit converter, missing-channel mask, and roundtrip validation.
Research: Modality-specific coordinate-frame and referencing requirements with explicit non-equivalence rules.</x:v>
      </x:c>
      <x:c r="H16" s="114" t="str">
        <x:v>Data: Synthetic geometry fixtures and metadata sidecars first; real headers only after separate authorization and without opening signal arrays.
Controls:
- Permutation, missing-channel, mirrored-coordinate, wrong-unit, and wrong-reference fixtures.
- Original and harmonized metadata retained side by side.
- No accuracy-based channel mapping on evaluation data.</x:v>
      </x:c>
      <x:c r="I16" s="114" t="str">
        <x:v>- matched, missing, duplicate, and ambiguous channel counts
- coordinate transform residual
- unit and reference conversion identity
- geometry availability fraction
- roundtrip and provenance hashes</x:v>
      </x:c>
      <x:c r="J16" s="114" t="str">
        <x:v>Acceptance: Proceed only when transforms are deterministic, reversible where promised, hash-bound, and refuse ambiguous geometry or reference instead of guessing.
Stop: Keep geometry unavailable if source coordinates or frames cannot be proven; do not infer device equivalence from channel names alone.</x:v>
      </x:c>
      <x:c r="K16" s="114" t="str">
        <x:v>Loops: 29
External: none</x:v>
      </x:c>
      <x:c r="L16" s="114" t="str">
        <x:v>Planning only. Synthetic fixture work or real-header inspection requires a separately scoped Loop 36 authorization.</x:v>
      </x:c>
      <x:c r="M16" s="114" t="str">
        <x:v>Dependency-free core, optional MNE only inside adapters, one thread, 16 MiB artifacts, and zero signal-array reads for metadata mode.</x:v>
      </x:c>
      <x:c r="N16" s="141" t="str">
        <x:v>planned_not_authorized</x:v>
      </x:c>
      <x:c r="O16" s="147" t="str">
        <x:v>Not Started</x:v>
      </x:c>
      <x:c r="P16" s="150" t="str">
        <x:v>https://mne.tools/stable/generated/mne.filter.resample.html
https://bids-specification.readthedocs.io/en/stable/derivatives/introduction.html</x:v>
      </x:c>
    </x:row>
    <x:row r="17" ht="138" customHeight="1">
      <x:c r="A17" s="126" t="n">
        <x:v>37</x:v>
      </x:c>
      <x:c r="B17" s="129" t="str">
        <x:v>P4 - Reproducibility And Local Deployment</x:v>
      </x:c>
      <x:c r="C17" s="114" t="str">
        <x:v>BIDS Derivative And Provenance Export</x:v>
      </x:c>
      <x:c r="D17" s="135" t="str">
        <x:v>P1 / M</x:v>
      </x:c>
      <x:c r="E17" s="114" t="str">
        <x:v>Can caches, tokens, reports, and split metadata be exported as inspectable derivatives without copying raw data or losing source identity?</x:v>
      </x:c>
      <x:c r="F17" s="114" t="str">
        <x:v>A standards-aware derivative makes external reproduction easier while preserving the local-first raw-data boundary.</x:v>
      </x:c>
      <x:c r="G17" s="114" t="str">
        <x:v>Build: BIDS-derivative export plan, dataset description, GeneratedBy and SourceDatasets provenance, sidecars, path validator, and no-raw-copy audit.
Research: BIDS derivative and electrophysiology mapping note identifying standard fields, extension fields, and unsupported claims.</x:v>
      </x:c>
      <x:c r="H17" s="114" t="str">
        <x:v>Data: Tiny synthetic caches and reports only for the interface proof; no real raw file is copied, packaged, or redistributed.
Controls:
- Source, configuration, split, payload, and code hashes retained.
- Path traversal, subject collision, overwrite, and raw-copy refusals.
- Roundtrip validation from derivative metadata back to source artifact identity.</x:v>
      </x:c>
      <x:c r="I17" s="114" t="str">
        <x:v>- required and unavailable field counts
- source-to-derivative hash coverage
- roundtrip identity
- input, output, and duplicated bytes
- raw-data copy count</x:v>
      </x:c>
      <x:c r="J17" s="114" t="str">
        <x:v>Acceptance: Pass as a synthetic derivative interface only when provenance is complete, extension fields are namespaced, no raw payload is copied, and all generated files remain under cap.
Stop: Do not claim BIDS compliance for unsupported fields or invent source metadata; export an explicit warning or refuse.</x:v>
      </x:c>
      <x:c r="K17" s="114" t="str">
        <x:v>Loops: 36
External: none</x:v>
      </x:c>
      <x:c r="L17" s="114" t="str">
        <x:v>Planning only. Export implementation and generated fixtures require a separate Loop 37 authorization.</x:v>
      </x:c>
      <x:c r="M17" s="114" t="str">
        <x:v>One thread, one worker, dependency-free metadata core, 16 MiB generated derivative tree, and zero real-data bytes.</x:v>
      </x:c>
      <x:c r="N17" s="141" t="str">
        <x:v>planned_not_authorized</x:v>
      </x:c>
      <x:c r="O17" s="147" t="str">
        <x:v>Not Started</x:v>
      </x:c>
      <x:c r="P17" s="150" t="str">
        <x:v>https://bids-specification.readthedocs.io/en/stable/derivatives/introduction.html
https://arxiv.org/abs/1803.09010</x:v>
      </x:c>
    </x:row>
    <x:row r="18" ht="138" customHeight="1">
      <x:c r="A18" s="126" t="n">
        <x:v>38</x:v>
      </x:c>
      <x:c r="B18" s="129" t="str">
        <x:v>P4 - Reproducibility And Local Deployment</x:v>
      </x:c>
      <x:c r="C18" s="114" t="str">
        <x:v>Neural Data Privacy And Lifecycle</x:v>
      </x:c>
      <x:c r="D18" s="135" t="str">
        <x:v>P0 / M</x:v>
      </x:c>
      <x:c r="E18" s="114" t="str">
        <x:v>Can the project prove where sensitive recordings and embeddings live, who can access them, and how they are retained or deleted?</x:v>
      </x:c>
      <x:c r="F18" s="114" t="str">
        <x:v>Neural signals and embeddings can carry identity information; local-first behavior needs verifiable lifecycle controls, not just a promise.</x:v>
      </x:c>
      <x:c r="G18" s="114" t="str">
        <x:v>Build: Data inventory, sensitivity labels, local path policy, retention and deletion receipts, redaction scanner, and privacy threat model.
Research: NIST-aligned privacy risk map plus EEG identity-risk review and contributor guidance.</x:v>
      </x:c>
      <x:c r="H18" s="114" t="str">
        <x:v>Data: Repository metadata and synthetic fixtures only; no identity attack, real embedding export, or participant re-identification experiment.
Controls:
- Tracked-history and staged-secret scans.
- Raw, derived, report, log, temporary, and backup lifecycle paths tested separately.
- Absolute paths, participant aliases, timestamps, and device serials redacted by default.
- Deletion receipt verifies expected paths without destructive broad cleanup.</x:v>
      </x:c>
      <x:c r="I18" s="114" t="str">
        <x:v>- sensitive path and field coverage
- redaction recall on generated fixtures
- retention-policy violations
- tracked neural payload bytes
- verified deletion and unresolved copy counts</x:v>
      </x:c>
      <x:c r="J18" s="114" t="str">
        <x:v>Acceptance: Pass when every artifact class has an owner, location, retention rule, redaction behavior, and verifiable local deletion path, with zero tracked neural payloads.
Stop: Block data-sharing or release claims when lifecycle ownership, consent, license, or deletion cannot be proven.</x:v>
      </x:c>
      <x:c r="K18" s="114" t="str">
        <x:v>Loops: 37
External: none</x:v>
      </x:c>
      <x:c r="L18" s="114" t="str">
        <x:v>Planning only. No real identity analysis or destructive cleanup is authorized.</x:v>
      </x:c>
      <x:c r="M18" s="114" t="str">
        <x:v>Standard-library scanners where possible, one thread, one worker, 8 MiB reports, no real signal reads, and no network upload.</x:v>
      </x:c>
      <x:c r="N18" s="141" t="str">
        <x:v>planned_not_authorized</x:v>
      </x:c>
      <x:c r="O18" s="147" t="str">
        <x:v>Not Started</x:v>
      </x:c>
      <x:c r="P18" s="150" t="str">
        <x:v>https://arxiv.org/abs/2412.09854
https://www.nist.gov/privacy-framework/privacy-framework</x:v>
      </x:c>
    </x:row>
    <x:row r="19" ht="138" customHeight="1">
      <x:c r="A19" s="126" t="n">
        <x:v>39</x:v>
      </x:c>
      <x:c r="B19" s="129" t="str">
        <x:v>P4 - Reproducibility And Local Deployment</x:v>
      </x:c>
      <x:c r="C19" s="114" t="str">
        <x:v>Cross-Machine Reproducibility Matrix</x:v>
      </x:c>
      <x:c r="D19" s="135" t="str">
        <x:v>P0 / M</x:v>
      </x:c>
      <x:c r="E19" s="114" t="str">
        <x:v>Which outputs are bitwise stable across supported Python and operating-system combinations, and which require explicit numerical tolerances?</x:v>
      </x:c>
      <x:c r="F19" s="114" t="str">
        <x:v>Open-source users need to know whether a mismatch is a bug, a backend difference, or an unsupported environment.</x:v>
      </x:c>
      <x:c r="G19" s="114" t="str">
        <x:v>Build: CI matrix, environment manifest, golden semantic hashes, tolerance registry, failure diagnostics, and artifact reproducibility report.
Research: Reproducibility policy distinguishing semantic identity, numerical compatibility, timing comparison, and environment-specific evidence.</x:v>
      </x:c>
      <x:c r="H19" s="114" t="str">
        <x:v>Data: Dependency-free tests and authorized synthetic fixtures only; no real or consumed cache, target, or model training access.
Controls:
- At least macOS and Linux where CI capacity permits.
- Base and optional-neuro environments kept separate.
- Bitwise semantic fields tested separately from floating payload tolerances.
- Tolerance changes require a recorded failing environment and explicit decision.</x:v>
      </x:c>
      <x:c r="I19" s="114" t="str">
        <x:v>- matrix pass rate
- semantic hash agreement
- maximum numerical drift
- runtime and peak RSS by environment
- artifact and dependency size</x:v>
      </x:c>
      <x:c r="J19" s="114" t="str">
        <x:v>Acceptance: Pass when every supported cell either reproduces the registered contract or fails with an explicit unsupported reason; no tolerance is widened after hidden evaluation access.
Stop: Do not claim cross-machine reproducibility from one host; quarantine platform-specific drift until diagnosed and documented.</x:v>
      </x:c>
      <x:c r="K19" s="114" t="str">
        <x:v>Loops: 37
External: ci_capacity_and_optional_environment_review</x:v>
      </x:c>
      <x:c r="L19" s="114" t="str">
        <x:v>Planning only. New matrix jobs, fixtures, and optional installs require a separate bounded Loop 39 change.</x:v>
      </x:c>
      <x:c r="M19" s="114" t="str">
        <x:v>One thread per job, no large cache, 32 MiB job artifacts, and existing CI time limits.</x:v>
      </x:c>
      <x:c r="N19" s="141" t="str">
        <x:v>planned_not_authorized</x:v>
      </x:c>
      <x:c r="O19" s="147" t="str">
        <x:v>Not Started</x:v>
      </x:c>
      <x:c r="P19" s="150" t="str">
        <x:v>https://arxiv.org/abs/2404.15319
https://arxiv.org/abs/1810.03993</x:v>
      </x:c>
    </x:row>
    <x:row r="20" ht="138" customHeight="1">
      <x:c r="A20" s="126" t="n">
        <x:v>40</x:v>
      </x:c>
      <x:c r="B20" s="129" t="str">
        <x:v>P4 - Reproducibility And Local Deployment</x:v>
      </x:c>
      <x:c r="C20" s="114" t="str">
        <x:v>Edge Runtime Packaging Gate</x:v>
      </x:c>
      <x:c r="D20" s="135" t="str">
        <x:v>P2 / L</x:v>
      </x:c>
      <x:c r="E20" s="114" t="str">
        <x:v>Can one already qualified frozen pipeline be packaged for an edge runtime while preserving outputs, state, timestamps, and measured resource behavior?</x:v>
      </x:c>
      <x:c r="F20" s="114" t="str">
        <x:v>Packaging is meaningful only after correctness and local runtime gates; it can then reveal startup, delegate, memory-planning, and operator support constraints.</x:v>
      </x:c>
      <x:c r="G20" s="114" t="str">
        <x:v>Build: Single-backend export contract, operator audit, packaged artifact validator, reference comparison, and startup/runtime/RSS report.
Research: ExecuTorch or alternative edge-runtime decision note based on supported operators and target platform, not trend appeal.</x:v>
      </x:c>
      <x:c r="H20" s="114" t="str">
        <x:v>Data: Frozen target-free synthetic fixture only; no real data, consumed targets, retraining, or architecture changes.
Controls:
- Reference eager path retained.
- Exact frame, timestamp, decoder trace, and state comparison.
- Fallback and undelegated operator counts reported.
- Package size, load time, steady-state time, and peak memory separated.</x:v>
      </x:c>
      <x:c r="I20" s="114" t="str">
        <x:v>- behavioral identity and numerical drift
- package and tensor bytes
- startup, producer, decoder, and full-pipeline latency
- peak RSS and planned memory
- delegated, fallback, and unsupported operator counts</x:v>
      </x:c>
      <x:c r="J20" s="114" t="str">
        <x:v>Acceptance: Adopt a package only if a previously qualified reference behavior is preserved, unsupported fallback is zero or explicitly accepted, and a preregistered deployment benefit passes.
Stop: Park packaging if it requires retraining, architecture changes, hidden fallback, or more resources without a measured benefit; do not call desktop packaging portable hardware.</x:v>
      </x:c>
      <x:c r="K20" s="114" t="str">
        <x:v>Loops: 39
External: explicit_loop24_result_or_hold, separate_edge_runtime_authorization</x:v>
      </x:c>
      <x:c r="L20" s="114" t="str">
        <x:v>Planning only. No export, conversion, optional edge dependency, inference, profiler, or package generation is authorized.</x:v>
      </x:c>
      <x:c r="M20" s="114" t="str">
        <x:v>One backend, one thread, one worker, 32 MiB generated package and reports, 60 seconds per measurement worker, and 1 GiB peak RSS.</x:v>
      </x:c>
      <x:c r="N20" s="141" t="str">
        <x:v>planned_not_authorized</x:v>
      </x:c>
      <x:c r="O20" s="147" t="str">
        <x:v>Not Started</x:v>
      </x:c>
      <x:c r="P20" s="150" t="str">
        <x:v>https://docs.pytorch.org/executorch/stable/index.html</x:v>
      </x:c>
    </x:row>
    <x:row r="21" ht="138" customHeight="1">
      <x:c r="A21" s="126" t="n">
        <x:v>41</x:v>
      </x:c>
      <x:c r="B21" s="129" t="str">
        <x:v>P5 - Live Translation And Release</x:v>
      </x:c>
      <x:c r="C21" s="114" t="str">
        <x:v>RW3 Stream-To-NeuroToken Integration</x:v>
      </x:c>
      <x:c r="D21" s="135" t="str">
        <x:v>P1 / L</x:v>
      </x:c>
      <x:c r="E21" s="114" t="str">
        <x:v>Can an authorized source-chunk replay pass through causal preprocessing into NeuroTokenCache without timestamp, gap, state, or schedule drift?</x:v>
      </x:c>
      <x:c r="F21" s="114" t="str">
        <x:v>This joins the acquisition contract to the model interface while keeping replay mechanics separate from hardware and decoding claims.</x:v>
      </x:c>
      <x:c r="G21" s="114" t="str">
        <x:v>Build: Source-chunk to preprocessing to NeuroToken adapter, resume state, gap propagation, schedule matrix, and end-to-end provenance hashes.
Research: Clock-domain and latency ledger mapping source, corrected, arrival, preprocessing, token, decoder, and render times.</x:v>
      </x:c>
      <x:c r="H21" s="114" t="str">
        <x:v>Data: Only future authorized target-free RW3 synthetic replay; no BrainFlow, LSL, PyXDF, socket, live source, hardware, or real recording unless separately staged later.
Controls:
- Canonical offline path and every authorized chunk schedule.
- Gap, duplicate, reorder, reconnect, and reset fixtures.
- Raw, corrected, and arrival clocks kept distinct.
- Resume from serialized state compared with uninterrupted replay.</x:v>
      </x:c>
      <x:c r="I21" s="114" t="str">
        <x:v>- source, preprocessing, and token semantic hash agreement
- timestamp and valid-length identity
- gap and anomaly propagation
- state bytes and resume identity
- stage runtime, scheduling delay, peak RSS, and output bytes</x:v>
      </x:c>
      <x:c r="J21" s="114" t="str">
        <x:v>Acceptance: Pass only when every authorized schedule and resume path preserves canonical tokens and provenance, and anomalies remain explicit rather than repaired silently.
Stop: Any timestamp collapse, silent interpolation, lost anomaly, schedule-dependent token, or state mismatch parks integration before live or device work.</x:v>
      </x:c>
      <x:c r="K21" s="114" t="str">
        <x:v>Loops: 25, 37, 39
External: explicit_rw3_stage_a_authorization_and_closeout, separate_loop41_authorization</x:v>
      </x:c>
      <x:c r="L21" s="114" t="str">
        <x:v>Planning only. This roadmap does not authorize RW3 Stage A or any adapter, fixture, source-chunk, stream, or token runtime.</x:v>
      </x:c>
      <x:c r="M21" s="114" t="str">
        <x:v>One thread and worker, 32 MiB generated target-free artifacts, 60 seconds per worker, and 1 GiB peak RSS.</x:v>
      </x:c>
      <x:c r="N21" s="141" t="str">
        <x:v>planned_not_authorized</x:v>
      </x:c>
      <x:c r="O21" s="147" t="str">
        <x:v>Not Started</x:v>
      </x:c>
      <x:c r="P21" s="150" t="str">
        <x:v>https://labstreaminglayer.readthedocs.io/info/time_synchronization.html
https://bids-specification.readthedocs.io/en/stable/derivatives/introduction.html</x:v>
      </x:c>
    </x:row>
    <x:row r="22" ht="138" customHeight="1">
      <x:c r="A22" s="126" t="n">
        <x:v>42</x:v>
      </x:c>
      <x:c r="B22" s="129" t="str">
        <x:v>P5 - Live Translation And Release</x:v>
      </x:c>
      <x:c r="C22" s="114" t="str">
        <x:v>One-Device Qualification</x:v>
      </x:c>
      <x:c r="D22" s="135" t="str">
        <x:v>P2 / L</x:v>
      </x:c>
      <x:c r="E22" s="114" t="str">
        <x:v>Can one named device preserve declared channels, units, clocks, packets, and privacy from recorded replay through a bounded local session?</x:v>
      </x:c>
      <x:c r="F22" s="114" t="str">
        <x:v>One measured device is more credible than broad compatibility claims based on SDK imports or vendor tables.</x:v>
      </x:c>
      <x:c r="G22" s="114" t="str">
        <x:v>Build: Device descriptor, consent and locality checklist, recorded-versus-live equivalence packet, loss/reconnect stress report, and compatibility-level decision.
Research: Device-specific timestamp, unit, reference, geometry, firmware, and data-retention review.</x:v>
      </x:c>
      <x:c r="H22" s="114" t="str">
        <x:v>Data: One separately approved board or headset, one local synthetic or consented non-sensitive qualification session, and no decoding target unless separately approved.
Controls:
- SDK synthetic or playback source before physical hardware.
- Recorded and live paths compared under the same source-chunk contract.
- Packet loss, reconnect, clock reset, and buffer-drain stress cases.
- Network-off and local-storage audit.</x:v>
      </x:c>
      <x:c r="I22" s="114" t="str">
        <x:v>- channel, unit, rate, and packet identity
- clock offset, jitter, gaps, duplicates, and reorder counts
- capture-to-arrival timing boundary
- runtime, peak RSS, bytes, and dropped samples
- privacy and retention violations</x:v>
      </x:c>
      <x:c r="J22" s="114" t="str">
        <x:v>Acceptance: Qualify only the named device, firmware, transport, host, and tested compatibility level; connectivity alone cannot qualify signal quality or decoding.
Stop: Park physical qualification on ambiguous consent, cloud dependence, hidden timestamps, unstable identity, unsafe retention, or failed replay equivalence.</x:v>
      </x:c>
      <x:c r="K22" s="114" t="str">
        <x:v>Loops: 29, 38, 41
External: explicit_device_stage_authorization, ethics_consent_and_retention_approval</x:v>
      </x:c>
      <x:c r="L22" s="114" t="str">
        <x:v>Planning only. No SDK import, device discovery, socket, stream, board, hardware, or recording session is authorized.</x:v>
      </x:c>
      <x:c r="M22" s="114" t="str">
        <x:v>One device, one host, one thread for analysis, exact session and byte cap in a future packet, 32 MiB derived artifacts, and no cloud upload.</x:v>
      </x:c>
      <x:c r="N22" s="141" t="str">
        <x:v>planned_not_authorized</x:v>
      </x:c>
      <x:c r="O22" s="147" t="str">
        <x:v>Not Started</x:v>
      </x:c>
      <x:c r="P22" s="150" t="str">
        <x:v>https://labstreaminglayer.readthedocs.io/info/time_synchronization.html
https://www.nist.gov/privacy-framework/privacy-framework</x:v>
      </x:c>
    </x:row>
    <x:row r="23" ht="138" customHeight="1">
      <x:c r="A23" s="126" t="n">
        <x:v>43</x:v>
      </x:c>
      <x:c r="B23" s="129" t="str">
        <x:v>P5 - Live Translation And Release</x:v>
      </x:c>
      <x:c r="C23" s="114" t="str">
        <x:v>Independent Reproduction Challenge</x:v>
      </x:c>
      <x:c r="D23" s="135" t="str">
        <x:v>P1 / M</x:v>
      </x:c>
      <x:c r="E23" s="114" t="str">
        <x:v>Can an independent contributor reproduce a bounded claim from documented inputs without private guidance or sharing neural recordings?</x:v>
      </x:c>
      <x:c r="F23" s="114" t="str">
        <x:v>Independent reproduction tests the developer experience, evidence contracts, and contribution path more honestly than another maintainer-run demo.</x:v>
      </x:c>
      <x:c r="G23" s="114" t="str">
        <x:v>Build: Challenge packet, fixture manifest, expected semantic checks, environment capture, blinded result card, and discrepancy triage workflow.
Research: Reproduction protocol distinguishing exact replication, computational reproduction, and extension on contributor-owned data.</x:v>
      </x:c>
      <x:c r="H23" s="114" t="str">
        <x:v>Data: Public code plus tiny synthetic fixtures by default; contributors keep any owned EEG local and submit metadata/aggregate reports only.
Controls:
- Maintainer and contributor environments recorded independently.
- Expected results hidden where needed until submission hash freezes.
- No private recording, secret, absolute path, or participant identifier in the submission.
- Negative and failed reproductions retained.</x:v>
      </x:c>
      <x:c r="I23" s="114" t="str">
        <x:v>- semantic and numerical reproduction rate
- setup time and command count
- environment and warning completeness
- discrepancy classes
- contributor artifact bytes and privacy findings</x:v>
      </x:c>
      <x:c r="J23" s="114" t="str">
        <x:v>Acceptance: Pass when at least one independent environment reproduces the registered artifact contract and a discrepancy, if any, is resolved or documented without moving the claim boundary.
Stop: Do not promote a result that depends on undocumented maintainer state, private hand edits, leaked data, or an unreviewed tolerance change.</x:v>
      </x:c>
      <x:c r="K23" s="114" t="str">
        <x:v>Loops: 37, 38, 39
External: community_participant_and_challenge_review</x:v>
      </x:c>
      <x:c r="L23" s="114" t="str">
        <x:v>Planning only. No outreach, external data exchange, or challenge execution is authorized by the roadmap file.</x:v>
      </x:c>
      <x:c r="M23" s="114" t="str">
        <x:v>Tiny public fixtures only, one-thread reference commands, 32 MiB submission cap, and no neural recording upload.</x:v>
      </x:c>
      <x:c r="N23" s="141" t="str">
        <x:v>planned_not_authorized</x:v>
      </x:c>
      <x:c r="O23" s="147" t="str">
        <x:v>Not Started</x:v>
      </x:c>
      <x:c r="P23" s="150" t="str">
        <x:v>https://arxiv.org/abs/2404.15319
https://arxiv.org/abs/1810.03993
https://arxiv.org/abs/1803.09010</x:v>
      </x:c>
    </x:row>
    <x:row r="24" ht="138" customHeight="1">
      <x:c r="A24" s="127" t="n">
        <x:v>44</x:v>
      </x:c>
      <x:c r="B24" s="130" t="str">
        <x:v>P5 - Live Translation And Release</x:v>
      </x:c>
      <x:c r="C24" s="115" t="str">
        <x:v>Claim Promotion And Release Decision</x:v>
      </x:c>
      <x:c r="D24" s="136" t="str">
        <x:v>P0 / M</x:v>
      </x:c>
      <x:c r="E24" s="115" t="str">
        <x:v>Which engineering and scientific claims have earned promotion into a release, and which remain fixture-backed, negative, unavailable, parked, or killed?</x:v>
      </x:c>
      <x:c r="F24" s="115" t="str">
        <x:v>The roadmap should end in an evidence decision, not an accumulation of features or optimistic wording.</x:v>
      </x:c>
      <x:c r="G24" s="115" t="str">
        <x:v>Build: Machine-readable evidence matrix, model and dataset cards, release checklist, claim diff, risk register, and signed proceed, park, or kill decision.
Research: Release and reporting policy grounded in model cards, datasheets, privacy, licensing, and reproducibility evidence.</x:v>
      </x:c>
      <x:c r="H24" s="115" t="str">
        <x:v>Data: Artifact-only synthesis of closed loop reports; no raw, consumed, target, model, training, device, or network operation.
Controls:
- Every claim links to a cohort, split, comparator, uncertainty, resource, and access record.
- Negative results and unavailable fields remain visible.
- Engineering capability and scientific performance are stated separately.
- Clinical, arbitrary-thought, portable-hardware, and real-time claims default to unavailable.</x:v>
      </x:c>
      <x:c r="I24" s="115" t="str">
        <x:v>- claims promoted, parked, killed, and unavailable
- evidence-card completeness
- unresolved privacy, license, security, and reproducibility blockers
- artifact and documentation link integrity
- release test and CI status</x:v>
      </x:c>
      <x:c r="J24" s="115" t="str">
        <x:v>Acceptance: Release only the subset whose exact evidence cards, licenses, privacy controls, independent reproduction, tests, and claim language pass; all other claims stay explicitly unestablished.
Stop: Hold the release rather than soften a failed gate, omit a negative comparator, or convert an engineering interface proof into a decoding claim.</x:v>
      </x:c>
      <x:c r="K24" s="115" t="str">
        <x:v>Loops: 38, 39, 43
External: maintainer_release_decision</x:v>
      </x:c>
      <x:c r="L24" s="115" t="str">
        <x:v>Planning only. The future release decision cannot retroactively authorize or upgrade any earlier experiment.</x:v>
      </x:c>
      <x:c r="M24" s="115" t="str">
        <x:v>Artifact-only review, one thread, one worker, 16 MiB generated reports, zero data/model/training/device access, and complete link/test checks.</x:v>
      </x:c>
      <x:c r="N24" s="142" t="str">
        <x:v>planned_not_authorized</x:v>
      </x:c>
      <x:c r="O24" s="148" t="str">
        <x:v>Not Started</x:v>
      </x:c>
      <x:c r="P24" s="151" t="str">
        <x:v>https://arxiv.org/abs/1810.03993
https://arxiv.org/abs/1803.09010
https://www.nist.gov/privacy-framework/privacy-framework</x:v>
      </x:c>
    </x:row>
  </x:sheetData>
  <x:mergeCells>
    <x:mergeCell ref="A1:P1"/>
    <x:mergeCell ref="A2:P2"/>
    <x:mergeCell ref="A3:P3"/>
  </x:mergeCells>
  <x:conditionalFormatting sqref="O5:O24">
    <x:cfRule type="containsText" dxfId="4" priority="1" operator="containsText" text="Done"/>
    <x:cfRule type="containsText" dxfId="5" priority="2" operator="containsText" text="Parked"/>
    <x:cfRule type="containsText" dxfId="6" priority="3" operator="containsText" text="Blocked"/>
    <x:cfRule type="containsText" dxfId="7" priority="4" operator="containsText" text="Not Started"/>
  </x:conditionalFormatting>
  <x:dataValidations count="1">
    <x:dataValidation type="list" sqref="O5:O24">
      <x:formula1>'Lists'!$A$2:$A$7</x:formula1>
    </x:dataValidation>
  </x:dataValidations>
  <x:pageMargins left="0.7" right="0.7" top="0.75" bottom="0.75" header="0.3" footer="0.3"/>
  <x:tableParts count="1">
    <x:tablePart xmlns:r="http://schemas.openxmlformats.org/officeDocument/2006/relationships" r:id="R5b932c427f824987"/>
  </x:tableParts>
</x:worksheet>
</file>