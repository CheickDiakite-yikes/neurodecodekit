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11f539774d45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cac1b0d70f84f91"/>
    <x:sheet xmlns:r="http://schemas.openxmlformats.org/officeDocument/2006/relationships" name="Loop Tracker" sheetId="2" r:id="R597c9ef5402646ac"/>
    <x:sheet xmlns:r="http://schemas.openxmlformats.org/officeDocument/2006/relationships" name="Decision Log" sheetId="3" r:id="Rfd1e6196e49749a7"/>
    <x:sheet xmlns:r="http://schemas.openxmlformats.org/officeDocument/2006/relationships" name="Risk Register" sheetId="4" r:id="Re70d06af27ef4852"/>
    <x:sheet xmlns:r="http://schemas.openxmlformats.org/officeDocument/2006/relationships" name="Experiment Template" sheetId="5" r:id="R7741c2a444424ec1"/>
    <x:sheet xmlns:r="http://schemas.openxmlformats.org/officeDocument/2006/relationships" name="Prompt Bank" sheetId="6" r:id="R5f4a03a2641d429e"/>
    <x:sheet xmlns:r="http://schemas.openxmlformats.org/officeDocument/2006/relationships" name="Lists" sheetId="7" r:id="Rddb45056823f47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0a713a147543a7" /><Relationship Type="http://schemas.openxmlformats.org/officeDocument/2006/relationships/theme" Target="/xl/theme/theme1.xml" Id="R24b646610a1b4a46" /><Relationship Type="http://schemas.openxmlformats.org/officeDocument/2006/relationships/sharedStrings" Target="/xl/sharedStrings.xml" Id="Rfa2254a0c0fc4dd5" /><Relationship Type="http://schemas.openxmlformats.org/officeDocument/2006/relationships/worksheet" Target="/xl/worksheets/sheet1.xml" Id="Rfcac1b0d70f84f91" /><Relationship Type="http://schemas.openxmlformats.org/officeDocument/2006/relationships/worksheet" Target="/xl/worksheets/sheet2.xml" Id="R597c9ef5402646ac" /><Relationship Type="http://schemas.openxmlformats.org/officeDocument/2006/relationships/worksheet" Target="/xl/worksheets/sheet3.xml" Id="Rfd1e6196e49749a7" /><Relationship Type="http://schemas.openxmlformats.org/officeDocument/2006/relationships/worksheet" Target="/xl/worksheets/sheet4.xml" Id="Re70d06af27ef4852" /><Relationship Type="http://schemas.openxmlformats.org/officeDocument/2006/relationships/worksheet" Target="/xl/worksheets/sheet5.xml" Id="R7741c2a444424ec1" /><Relationship Type="http://schemas.openxmlformats.org/officeDocument/2006/relationships/worksheet" Target="/xl/worksheets/sheet6.xml" Id="R5f4a03a2641d429e" /><Relationship Type="http://schemas.openxmlformats.org/officeDocument/2006/relationships/worksheet" Target="/xl/worksheets/sheet7.xml" Id="Rddb45056823f47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5fa24380384a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5fa24380384a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d049b71ada843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3ad57be5d44a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21c859732e4b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29d3416b9e94f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1a5301fedda4da8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4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20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v>4</x:v>
      </x:c>
      <x:c r="D13" s="34" t="n">
        <x:v>0.8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0</x:v>
      </x:c>
      <x:c r="D14" s="34" t="n">
        <x:f>IF(B14=0,0,C14/B14)</x:f>
        <x:v>0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1d049b71ada843a5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v>100</x:v>
      </x:c>
      <x:c r="T3" s="14" t="str">
        <x:v>Done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v>100</x:v>
      </x:c>
      <x:c r="T4" s="14" t="str">
        <x:v>Done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v>100</x:v>
      </x:c>
      <x:c r="T5" s="14" t="str">
        <x:v>Done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Not Started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0</x:v>
      </x:c>
      <x:c r="T6" s="14" t="str">
        <x:f>IF(K6="Blocked","Fix blocker",IF(K6="Review","Review/merge",IF(AND(L6="P0",K6="Not Started"),"Next candidate",IF(K6="Done","Closed","Normal"))))</x:f>
        <x:v>Next candidate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Not Started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/>
      <x:c r="S7" s="16" t="n">
        <x:f>IF(K7="Done",1,IF(K7="Review",0.8,IF(K7="In Progress",0.5,IF(K7="Blocked",0.2,IF(K7="Parked",0.1,0)))))</x:f>
        <x:v>0</x:v>
      </x:c>
      <x:c r="T7" s="14" t="str">
        <x:f>IF(K7="Blocked","Fix blocker",IF(K7="Review","Review/merge",IF(AND(L7="P0",K7="Not Started"),"Next candidate",IF(K7="Done","Closed","Normal"))))</x:f>
        <x:v>Next candidate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Not Started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/>
      <x:c r="S8" s="16" t="n">
        <x:f>IF(K8="Done",1,IF(K8="Review",0.8,IF(K8="In Progress",0.5,IF(K8="Blocked",0.2,IF(K8="Parked",0.1,0)))))</x:f>
        <x:v>0</x:v>
      </x:c>
      <x:c r="T8" s="14" t="str">
        <x:f>IF(K8="Blocked","Fix blocker",IF(K8="Review","Review/merge",IF(AND(L8="P0",K8="Not Started"),"Next candidate",IF(K8="Done","Closed","Normal"))))</x:f>
        <x:v>Normal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Not Started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/>
      <x:c r="S9" s="16" t="n">
        <x:f>IF(K9="Done",1,IF(K9="Review",0.8,IF(K9="In Progress",0.5,IF(K9="Blocked",0.2,IF(K9="Parked",0.1,0)))))</x:f>
        <x:v>0</x:v>
      </x:c>
      <x:c r="T9" s="14" t="str">
        <x:f>IF(K9="Blocked","Fix blocker",IF(K9="Review","Review/merge",IF(AND(L9="P0",K9="Not Started"),"Next candidate",IF(K9="Done","Closed","Normal"))))</x:f>
        <x:v>Normal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f>IF(K10="Blocked","Fix blocker",IF(K10="Review","Review/merge",IF(AND(L10="P0",K10="Not Started"),"Next candidate",IF(K10="Done","Closed","Normal"))))</x:f>
        <x:v>Normal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3ad57be5d44a7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 t="str"/>
    </x:row>
    <x:row r="4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>
      <x:c r="A6" s="37" t="str"/>
      <x:c r="B6" s="12" t="str"/>
      <x:c r="C6" s="12" t="str"/>
      <x:c r="D6" s="12" t="str"/>
      <x:c r="E6" s="12" t="str"/>
      <x:c r="F6" s="12" t="str"/>
      <x:c r="G6" s="12" t="str"/>
      <x:c r="H6" s="12" t="str"/>
      <x:c r="I6" s="12" t="str"/>
    </x:row>
    <x:row r="7">
      <x:c r="A7" s="37"/>
      <x:c r="B7" s="12"/>
      <x:c r="C7" s="12"/>
      <x:c r="D7" s="12"/>
      <x:c r="E7" s="12"/>
      <x:c r="F7" s="12"/>
      <x:c r="G7" s="12"/>
      <x:c r="H7" s="12"/>
      <x:c r="I7" s="12"/>
    </x:row>
    <x:row r="8">
      <x:c r="A8" s="37"/>
      <x:c r="B8" s="12"/>
      <x:c r="C8" s="12"/>
      <x:c r="D8" s="12"/>
      <x:c r="E8" s="12"/>
      <x:c r="F8" s="12"/>
      <x:c r="G8" s="12"/>
      <x:c r="H8" s="12"/>
      <x:c r="I8" s="12"/>
    </x:row>
    <x:row r="9">
      <x:c r="A9" s="37"/>
      <x:c r="B9" s="12"/>
      <x:c r="C9" s="12"/>
      <x:c r="D9" s="12"/>
      <x:c r="E9" s="12"/>
      <x:c r="F9" s="12"/>
      <x:c r="G9" s="12"/>
      <x:c r="H9" s="12"/>
      <x:c r="I9" s="12"/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21c859732e4b8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9d3416b9e94fe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81a5301fedda4da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